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vitragajanana/Desktop/github/"/>
    </mc:Choice>
  </mc:AlternateContent>
  <xr:revisionPtr revIDLastSave="0" documentId="13_ncr:1_{BBD19CCE-267D-5B40-AF3B-E5505C3E80EB}" xr6:coauthVersionLast="36" xr6:coauthVersionMax="36" xr10:uidLastSave="{00000000-0000-0000-0000-000000000000}"/>
  <bookViews>
    <workbookView xWindow="1460" yWindow="500" windowWidth="27340" windowHeight="15600" xr2:uid="{00000000-000D-0000-FFFF-FFFF00000000}"/>
  </bookViews>
  <sheets>
    <sheet name="American Call" sheetId="3" r:id="rId1"/>
    <sheet name="American Put" sheetId="2" r:id="rId2"/>
    <sheet name="Black-Scholes-Merton" sheetId="5" r:id="rId3"/>
    <sheet name="Hedge" sheetId="8" r:id="rId4"/>
  </sheets>
  <definedNames>
    <definedName name="d">'American Call'!$F$4</definedName>
    <definedName name="d_put">'American Put'!$F$4</definedName>
    <definedName name="delta_t">'American Call'!$C$7</definedName>
    <definedName name="delta_t1">'American Put'!$C$7</definedName>
    <definedName name="InitialStockPrice">Hedge!$F$5</definedName>
    <definedName name="K">'Black-Scholes-Merton'!$B$6</definedName>
    <definedName name="Mean">Hedge!$F$8</definedName>
    <definedName name="Nd">'Black-Scholes-Merton'!$B$32</definedName>
    <definedName name="Pd">'American Call'!$F$7</definedName>
    <definedName name="Pd_1">'American Put'!$F$7</definedName>
    <definedName name="Pu">'American Call'!$F$6</definedName>
    <definedName name="Pu_1">'American Put'!$F$6</definedName>
    <definedName name="q">'Black-Scholes-Merton'!$B$10</definedName>
    <definedName name="r_f">'American Call'!$C$5</definedName>
    <definedName name="r_f1">'American Put'!$C$5</definedName>
    <definedName name="rf">'Black-Scholes-Merton'!$B$9</definedName>
    <definedName name="RiskFree">Hedge!$F$7</definedName>
    <definedName name="S0">'Black-Scholes-Merton'!$B$5</definedName>
    <definedName name="Sigma">'Black-Scholes-Merton'!$B$7</definedName>
    <definedName name="Sigma_hedge">Hedge!$F$9</definedName>
    <definedName name="StartTime">#REF!</definedName>
    <definedName name="StockPrice">'American Call'!$C$3</definedName>
    <definedName name="Stockprice_Put">'American Put'!$C$3</definedName>
    <definedName name="StopTime">#REF!</definedName>
    <definedName name="StrikePrice">Hedge!$F$4</definedName>
    <definedName name="T">'Black-Scholes-Merton'!$B$8</definedName>
    <definedName name="u">'American Call'!$F$3</definedName>
    <definedName name="u_put">'American Put'!$F$3</definedName>
  </definedNames>
  <calcPr calcId="181029" iterateCount="1000" iterateDelta="1.0000000000000001E-5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5" l="1"/>
  <c r="C7" i="3" l="1"/>
  <c r="C7" i="2"/>
  <c r="B27" i="5"/>
  <c r="B28" i="5" s="1"/>
  <c r="B31" i="5" s="1"/>
  <c r="X12" i="8"/>
  <c r="X13" i="8" s="1"/>
  <c r="Y2" i="8"/>
  <c r="W6" i="8"/>
  <c r="W5" i="8"/>
  <c r="M16" i="8"/>
  <c r="M13" i="8"/>
  <c r="E12" i="8"/>
  <c r="M12" i="8"/>
  <c r="N12" i="8" s="1"/>
  <c r="O12" i="8" s="1"/>
  <c r="M14" i="8"/>
  <c r="M15" i="8"/>
  <c r="C16" i="8"/>
  <c r="C13" i="8"/>
  <c r="D13" i="8"/>
  <c r="C15" i="8"/>
  <c r="C14" i="8"/>
  <c r="C17" i="8"/>
  <c r="M17" i="8"/>
  <c r="C18" i="8"/>
  <c r="M18" i="8"/>
  <c r="C19" i="8"/>
  <c r="M19" i="8"/>
  <c r="C20" i="8"/>
  <c r="M20" i="8"/>
  <c r="C21" i="8"/>
  <c r="M21" i="8"/>
  <c r="C22" i="8"/>
  <c r="M22" i="8"/>
  <c r="C23" i="8"/>
  <c r="M23" i="8"/>
  <c r="C24" i="8"/>
  <c r="M24" i="8"/>
  <c r="C25" i="8"/>
  <c r="M25" i="8"/>
  <c r="C26" i="8"/>
  <c r="M26" i="8"/>
  <c r="C27" i="8"/>
  <c r="M27" i="8"/>
  <c r="C28" i="8"/>
  <c r="M28" i="8"/>
  <c r="C29" i="8"/>
  <c r="M29" i="8"/>
  <c r="C30" i="8"/>
  <c r="M30" i="8"/>
  <c r="C31" i="8"/>
  <c r="M31" i="8"/>
  <c r="C32" i="8"/>
  <c r="M32" i="8"/>
  <c r="C33" i="8"/>
  <c r="M33" i="8"/>
  <c r="C34" i="8"/>
  <c r="M34" i="8"/>
  <c r="C35" i="8"/>
  <c r="M35" i="8"/>
  <c r="C36" i="8"/>
  <c r="M36" i="8"/>
  <c r="C37" i="8"/>
  <c r="M37" i="8"/>
  <c r="C38" i="8"/>
  <c r="M38" i="8"/>
  <c r="C39" i="8"/>
  <c r="M39" i="8"/>
  <c r="C40" i="8"/>
  <c r="M40" i="8"/>
  <c r="C41" i="8"/>
  <c r="M41" i="8"/>
  <c r="C42" i="8"/>
  <c r="M42" i="8"/>
  <c r="C43" i="8"/>
  <c r="M43" i="8"/>
  <c r="C44" i="8"/>
  <c r="M44" i="8"/>
  <c r="C45" i="8"/>
  <c r="M45" i="8"/>
  <c r="C46" i="8"/>
  <c r="M46" i="8"/>
  <c r="C47" i="8"/>
  <c r="M47" i="8"/>
  <c r="Q28" i="5"/>
  <c r="R28" i="5"/>
  <c r="Q29" i="5"/>
  <c r="R29" i="5" s="1"/>
  <c r="R27" i="5"/>
  <c r="B16" i="2"/>
  <c r="F3" i="2"/>
  <c r="C17" i="2" s="1"/>
  <c r="F4" i="2"/>
  <c r="F6" i="2" s="1"/>
  <c r="F7" i="2" s="1"/>
  <c r="C16" i="2"/>
  <c r="D17" i="2" s="1"/>
  <c r="D18" i="2"/>
  <c r="F5" i="2"/>
  <c r="C4" i="2"/>
  <c r="F5" i="3"/>
  <c r="F4" i="3"/>
  <c r="F3" i="3"/>
  <c r="C17" i="3" s="1"/>
  <c r="B16" i="3"/>
  <c r="P12" i="8"/>
  <c r="Q12" i="8" s="1"/>
  <c r="B35" i="5" l="1"/>
  <c r="D19" i="5" s="1"/>
  <c r="C16" i="3"/>
  <c r="D16" i="3" s="1"/>
  <c r="X14" i="8"/>
  <c r="Y14" i="8" s="1"/>
  <c r="E13" i="8"/>
  <c r="N13" i="8" s="1"/>
  <c r="Y13" i="8"/>
  <c r="D17" i="3"/>
  <c r="D18" i="3"/>
  <c r="F6" i="3"/>
  <c r="F7" i="3" s="1"/>
  <c r="Q30" i="5"/>
  <c r="J12" i="8"/>
  <c r="F12" i="8"/>
  <c r="X15" i="8"/>
  <c r="D16" i="2"/>
  <c r="B22" i="5"/>
  <c r="B33" i="5"/>
  <c r="B30" i="5"/>
  <c r="D20" i="5" l="1"/>
  <c r="B20" i="5"/>
  <c r="B19" i="5"/>
  <c r="R30" i="5"/>
  <c r="Q31" i="5"/>
  <c r="E14" i="8"/>
  <c r="N14" i="8" s="1"/>
  <c r="P13" i="8"/>
  <c r="Q13" i="8" s="1"/>
  <c r="O13" i="8"/>
  <c r="E16" i="3"/>
  <c r="E17" i="3"/>
  <c r="E19" i="3"/>
  <c r="E18" i="3"/>
  <c r="X16" i="8"/>
  <c r="E15" i="8"/>
  <c r="Y15" i="8"/>
  <c r="E17" i="2"/>
  <c r="E19" i="2"/>
  <c r="E18" i="2"/>
  <c r="E16" i="2"/>
  <c r="B13" i="8"/>
  <c r="H12" i="8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J4" i="8" s="1"/>
  <c r="R12" i="8"/>
  <c r="B18" i="5"/>
  <c r="S26" i="5"/>
  <c r="B17" i="5"/>
  <c r="G3" i="5" s="1"/>
  <c r="D18" i="5"/>
  <c r="B32" i="5"/>
  <c r="D21" i="5" s="1"/>
  <c r="B21" i="5"/>
  <c r="D22" i="5"/>
  <c r="P14" i="8" l="1"/>
  <c r="Q14" i="8" s="1"/>
  <c r="O14" i="8"/>
  <c r="J13" i="8"/>
  <c r="F13" i="8"/>
  <c r="G13" i="8" s="1"/>
  <c r="F16" i="3"/>
  <c r="F17" i="3"/>
  <c r="F18" i="3"/>
  <c r="F19" i="3"/>
  <c r="F20" i="3"/>
  <c r="R31" i="5"/>
  <c r="Q32" i="5"/>
  <c r="F17" i="2"/>
  <c r="F19" i="2"/>
  <c r="F16" i="2"/>
  <c r="F18" i="2"/>
  <c r="F20" i="2"/>
  <c r="Y16" i="8"/>
  <c r="E16" i="8"/>
  <c r="X17" i="8"/>
  <c r="D17" i="5"/>
  <c r="N15" i="8"/>
  <c r="G16" i="3" l="1"/>
  <c r="G18" i="3"/>
  <c r="G19" i="3"/>
  <c r="G20" i="3"/>
  <c r="G21" i="3"/>
  <c r="G17" i="3"/>
  <c r="Q33" i="5"/>
  <c r="R32" i="5"/>
  <c r="K13" i="8"/>
  <c r="L13" i="8" s="1"/>
  <c r="D14" i="8" s="1"/>
  <c r="B14" i="8"/>
  <c r="R13" i="8"/>
  <c r="P15" i="8"/>
  <c r="Q15" i="8" s="1"/>
  <c r="O15" i="8"/>
  <c r="J14" i="8"/>
  <c r="F14" i="8"/>
  <c r="N16" i="8"/>
  <c r="G18" i="2"/>
  <c r="G20" i="2"/>
  <c r="G16" i="2"/>
  <c r="G17" i="2"/>
  <c r="G19" i="2"/>
  <c r="G21" i="2"/>
  <c r="X18" i="8"/>
  <c r="Y17" i="8"/>
  <c r="E17" i="8"/>
  <c r="P16" i="8" l="1"/>
  <c r="Q16" i="8" s="1"/>
  <c r="O16" i="8"/>
  <c r="Q34" i="5"/>
  <c r="R33" i="5"/>
  <c r="G14" i="8"/>
  <c r="R14" i="8"/>
  <c r="K14" i="8"/>
  <c r="L14" i="8" s="1"/>
  <c r="D15" i="8" s="1"/>
  <c r="B15" i="8"/>
  <c r="J15" i="8"/>
  <c r="F15" i="8"/>
  <c r="H16" i="3"/>
  <c r="H18" i="3"/>
  <c r="H17" i="3"/>
  <c r="H20" i="3"/>
  <c r="H21" i="3"/>
  <c r="H19" i="3"/>
  <c r="H22" i="3"/>
  <c r="H18" i="2"/>
  <c r="H20" i="2"/>
  <c r="H22" i="2"/>
  <c r="H17" i="2"/>
  <c r="H19" i="2"/>
  <c r="H21" i="2"/>
  <c r="H16" i="2"/>
  <c r="N17" i="8"/>
  <c r="Y18" i="8"/>
  <c r="X19" i="8"/>
  <c r="E18" i="8"/>
  <c r="I16" i="3" l="1"/>
  <c r="I23" i="3"/>
  <c r="I17" i="3"/>
  <c r="I19" i="3"/>
  <c r="I20" i="3"/>
  <c r="I18" i="3"/>
  <c r="I21" i="3"/>
  <c r="I22" i="3"/>
  <c r="R34" i="5"/>
  <c r="Q35" i="5"/>
  <c r="G15" i="8"/>
  <c r="J16" i="8"/>
  <c r="F16" i="8"/>
  <c r="P17" i="8"/>
  <c r="Q17" i="8" s="1"/>
  <c r="O17" i="8"/>
  <c r="B16" i="8"/>
  <c r="K15" i="8"/>
  <c r="L15" i="8" s="1"/>
  <c r="D16" i="8" s="1"/>
  <c r="R15" i="8"/>
  <c r="N18" i="8"/>
  <c r="X20" i="8"/>
  <c r="Y19" i="8"/>
  <c r="E19" i="8"/>
  <c r="I17" i="2"/>
  <c r="I19" i="2"/>
  <c r="I21" i="2"/>
  <c r="I23" i="2"/>
  <c r="I18" i="2"/>
  <c r="I20" i="2"/>
  <c r="I22" i="2"/>
  <c r="I16" i="2"/>
  <c r="G16" i="8" l="1"/>
  <c r="R16" i="8"/>
  <c r="K16" i="8"/>
  <c r="L16" i="8" s="1"/>
  <c r="D17" i="8" s="1"/>
  <c r="B17" i="8"/>
  <c r="P18" i="8"/>
  <c r="Q18" i="8" s="1"/>
  <c r="O18" i="8"/>
  <c r="R35" i="5"/>
  <c r="Q36" i="5"/>
  <c r="J16" i="3"/>
  <c r="J23" i="3"/>
  <c r="J24" i="3"/>
  <c r="J17" i="3"/>
  <c r="J19" i="3"/>
  <c r="J20" i="3"/>
  <c r="J18" i="3"/>
  <c r="J21" i="3"/>
  <c r="J22" i="3"/>
  <c r="J17" i="8"/>
  <c r="F17" i="8"/>
  <c r="N19" i="8"/>
  <c r="Y20" i="8"/>
  <c r="X21" i="8"/>
  <c r="E20" i="8"/>
  <c r="J17" i="2"/>
  <c r="J19" i="2"/>
  <c r="J21" i="2"/>
  <c r="J23" i="2"/>
  <c r="J16" i="2"/>
  <c r="J18" i="2"/>
  <c r="J20" i="2"/>
  <c r="J22" i="2"/>
  <c r="J24" i="2"/>
  <c r="G17" i="8" l="1"/>
  <c r="B18" i="8"/>
  <c r="R17" i="8"/>
  <c r="K17" i="8"/>
  <c r="L17" i="8" s="1"/>
  <c r="D18" i="8" s="1"/>
  <c r="J18" i="8"/>
  <c r="F18" i="8"/>
  <c r="P19" i="8"/>
  <c r="Q19" i="8" s="1"/>
  <c r="O19" i="8"/>
  <c r="K16" i="3"/>
  <c r="K24" i="3"/>
  <c r="K18" i="3"/>
  <c r="K20" i="3"/>
  <c r="K17" i="3"/>
  <c r="K25" i="3"/>
  <c r="K21" i="3"/>
  <c r="K19" i="3"/>
  <c r="K22" i="3"/>
  <c r="K23" i="3"/>
  <c r="R36" i="5"/>
  <c r="Q37" i="5"/>
  <c r="X22" i="8"/>
  <c r="Y21" i="8"/>
  <c r="E21" i="8"/>
  <c r="K18" i="2"/>
  <c r="K20" i="2"/>
  <c r="K22" i="2"/>
  <c r="K24" i="2"/>
  <c r="K16" i="2"/>
  <c r="K17" i="2"/>
  <c r="K19" i="2"/>
  <c r="K21" i="2"/>
  <c r="K23" i="2"/>
  <c r="K25" i="2"/>
  <c r="N20" i="8"/>
  <c r="B19" i="8" l="1"/>
  <c r="K18" i="8"/>
  <c r="L18" i="8" s="1"/>
  <c r="D19" i="8" s="1"/>
  <c r="R18" i="8"/>
  <c r="Q38" i="5"/>
  <c r="R37" i="5"/>
  <c r="P20" i="8"/>
  <c r="Q20" i="8" s="1"/>
  <c r="O20" i="8"/>
  <c r="G18" i="8"/>
  <c r="L16" i="3"/>
  <c r="L18" i="3"/>
  <c r="L26" i="3"/>
  <c r="L20" i="3"/>
  <c r="L19" i="3"/>
  <c r="L22" i="3"/>
  <c r="L23" i="3"/>
  <c r="L21" i="3"/>
  <c r="L25" i="3"/>
  <c r="L17" i="3"/>
  <c r="L24" i="3"/>
  <c r="J19" i="8"/>
  <c r="F19" i="8"/>
  <c r="N21" i="8"/>
  <c r="Y22" i="8"/>
  <c r="X23" i="8"/>
  <c r="E22" i="8"/>
  <c r="L18" i="2"/>
  <c r="L20" i="2"/>
  <c r="L22" i="2"/>
  <c r="L24" i="2"/>
  <c r="L26" i="2"/>
  <c r="L17" i="2"/>
  <c r="L19" i="2"/>
  <c r="L21" i="2"/>
  <c r="L23" i="2"/>
  <c r="L25" i="2"/>
  <c r="L16" i="2"/>
  <c r="J20" i="8" l="1"/>
  <c r="F20" i="8"/>
  <c r="K19" i="8"/>
  <c r="L19" i="8" s="1"/>
  <c r="D20" i="8" s="1"/>
  <c r="R19" i="8"/>
  <c r="B20" i="8"/>
  <c r="Q39" i="5"/>
  <c r="R38" i="5"/>
  <c r="M16" i="3"/>
  <c r="M21" i="3"/>
  <c r="M23" i="3"/>
  <c r="M25" i="3"/>
  <c r="M22" i="3"/>
  <c r="M17" i="3"/>
  <c r="M18" i="3"/>
  <c r="M26" i="3"/>
  <c r="M24" i="3"/>
  <c r="M19" i="3"/>
  <c r="M20" i="3"/>
  <c r="M27" i="3"/>
  <c r="G19" i="8"/>
  <c r="P21" i="8"/>
  <c r="Q21" i="8" s="1"/>
  <c r="O21" i="8"/>
  <c r="M17" i="2"/>
  <c r="M19" i="2"/>
  <c r="M21" i="2"/>
  <c r="M23" i="2"/>
  <c r="M25" i="2"/>
  <c r="M27" i="2"/>
  <c r="M18" i="2"/>
  <c r="M20" i="2"/>
  <c r="M22" i="2"/>
  <c r="M24" i="2"/>
  <c r="M26" i="2"/>
  <c r="M16" i="2"/>
  <c r="N22" i="8"/>
  <c r="X24" i="8"/>
  <c r="Y23" i="8"/>
  <c r="E23" i="8"/>
  <c r="G20" i="8" l="1"/>
  <c r="J21" i="8"/>
  <c r="F21" i="8"/>
  <c r="P22" i="8"/>
  <c r="Q22" i="8" s="1"/>
  <c r="O22" i="8"/>
  <c r="R39" i="5"/>
  <c r="Q40" i="5"/>
  <c r="R20" i="8"/>
  <c r="K20" i="8"/>
  <c r="L20" i="8" s="1"/>
  <c r="D21" i="8" s="1"/>
  <c r="B21" i="8"/>
  <c r="N16" i="3"/>
  <c r="N17" i="3"/>
  <c r="N25" i="3"/>
  <c r="N19" i="3"/>
  <c r="N18" i="3"/>
  <c r="N26" i="3"/>
  <c r="N27" i="3"/>
  <c r="N22" i="3"/>
  <c r="N20" i="3"/>
  <c r="N28" i="3"/>
  <c r="N21" i="3"/>
  <c r="N23" i="3"/>
  <c r="N24" i="3"/>
  <c r="N23" i="8"/>
  <c r="Y24" i="8"/>
  <c r="X25" i="8"/>
  <c r="E24" i="8"/>
  <c r="N17" i="2"/>
  <c r="N19" i="2"/>
  <c r="N21" i="2"/>
  <c r="N23" i="2"/>
  <c r="N25" i="2"/>
  <c r="N27" i="2"/>
  <c r="N16" i="2"/>
  <c r="N18" i="2"/>
  <c r="N20" i="2"/>
  <c r="N22" i="2"/>
  <c r="N24" i="2"/>
  <c r="N26" i="2"/>
  <c r="N28" i="2"/>
  <c r="J22" i="8" l="1"/>
  <c r="F22" i="8"/>
  <c r="O16" i="3"/>
  <c r="O22" i="3"/>
  <c r="O24" i="3"/>
  <c r="O18" i="3"/>
  <c r="O19" i="3"/>
  <c r="O23" i="3"/>
  <c r="O26" i="3"/>
  <c r="O27" i="3"/>
  <c r="O17" i="3"/>
  <c r="O25" i="3"/>
  <c r="O20" i="3"/>
  <c r="O21" i="3"/>
  <c r="O28" i="3"/>
  <c r="O29" i="3"/>
  <c r="G21" i="8"/>
  <c r="R21" i="8"/>
  <c r="B22" i="8"/>
  <c r="K21" i="8"/>
  <c r="L21" i="8" s="1"/>
  <c r="D22" i="8" s="1"/>
  <c r="Q41" i="5"/>
  <c r="R40" i="5"/>
  <c r="P23" i="8"/>
  <c r="Q23" i="8" s="1"/>
  <c r="O23" i="8"/>
  <c r="N24" i="8"/>
  <c r="O18" i="2"/>
  <c r="O20" i="2"/>
  <c r="O22" i="2"/>
  <c r="O24" i="2"/>
  <c r="O26" i="2"/>
  <c r="O28" i="2"/>
  <c r="O16" i="2"/>
  <c r="O17" i="2"/>
  <c r="O19" i="2"/>
  <c r="O21" i="2"/>
  <c r="O23" i="2"/>
  <c r="O25" i="2"/>
  <c r="O27" i="2"/>
  <c r="O29" i="2"/>
  <c r="X26" i="8"/>
  <c r="Y25" i="8"/>
  <c r="E25" i="8"/>
  <c r="P24" i="8" l="1"/>
  <c r="Q24" i="8" s="1"/>
  <c r="O24" i="8"/>
  <c r="Q42" i="5"/>
  <c r="R41" i="5"/>
  <c r="P16" i="3"/>
  <c r="P27" i="3"/>
  <c r="P19" i="3"/>
  <c r="P17" i="3"/>
  <c r="P29" i="3"/>
  <c r="P26" i="3"/>
  <c r="P18" i="3"/>
  <c r="P25" i="3"/>
  <c r="P30" i="3"/>
  <c r="P22" i="3"/>
  <c r="P24" i="3"/>
  <c r="P23" i="3"/>
  <c r="P28" i="3"/>
  <c r="P21" i="3"/>
  <c r="P20" i="3"/>
  <c r="G22" i="8"/>
  <c r="B23" i="8"/>
  <c r="K22" i="8"/>
  <c r="L22" i="8" s="1"/>
  <c r="D23" i="8" s="1"/>
  <c r="R22" i="8"/>
  <c r="J23" i="8"/>
  <c r="F23" i="8"/>
  <c r="N25" i="8"/>
  <c r="Y26" i="8"/>
  <c r="X27" i="8"/>
  <c r="E26" i="8"/>
  <c r="P18" i="2"/>
  <c r="P20" i="2"/>
  <c r="P22" i="2"/>
  <c r="P24" i="2"/>
  <c r="P26" i="2"/>
  <c r="P28" i="2"/>
  <c r="P30" i="2"/>
  <c r="P17" i="2"/>
  <c r="P19" i="2"/>
  <c r="P21" i="2"/>
  <c r="P23" i="2"/>
  <c r="P25" i="2"/>
  <c r="P27" i="2"/>
  <c r="P29" i="2"/>
  <c r="P16" i="2"/>
  <c r="R42" i="5" l="1"/>
  <c r="Q43" i="5"/>
  <c r="J24" i="8"/>
  <c r="F24" i="8"/>
  <c r="G23" i="8"/>
  <c r="Q16" i="3"/>
  <c r="Q19" i="3"/>
  <c r="Q27" i="3"/>
  <c r="Q21" i="3"/>
  <c r="Q29" i="3"/>
  <c r="Q17" i="3"/>
  <c r="Q25" i="3"/>
  <c r="Q20" i="3"/>
  <c r="Q28" i="3"/>
  <c r="Q23" i="3"/>
  <c r="Q31" i="3"/>
  <c r="Q24" i="3"/>
  <c r="Q22" i="3"/>
  <c r="Q30" i="3"/>
  <c r="Q26" i="3"/>
  <c r="Q18" i="3"/>
  <c r="P25" i="8"/>
  <c r="Q25" i="8" s="1"/>
  <c r="O25" i="8"/>
  <c r="K23" i="8"/>
  <c r="L23" i="8" s="1"/>
  <c r="D24" i="8" s="1"/>
  <c r="B24" i="8"/>
  <c r="R23" i="8"/>
  <c r="N26" i="8"/>
  <c r="Q17" i="2"/>
  <c r="Q19" i="2"/>
  <c r="Q21" i="2"/>
  <c r="Q23" i="2"/>
  <c r="Q25" i="2"/>
  <c r="Q27" i="2"/>
  <c r="Q29" i="2"/>
  <c r="Q31" i="2"/>
  <c r="Q18" i="2"/>
  <c r="Q20" i="2"/>
  <c r="Q22" i="2"/>
  <c r="Q24" i="2"/>
  <c r="Q26" i="2"/>
  <c r="Q28" i="2"/>
  <c r="Q30" i="2"/>
  <c r="Q16" i="2"/>
  <c r="X28" i="8"/>
  <c r="Y27" i="8"/>
  <c r="E27" i="8"/>
  <c r="R16" i="3" l="1"/>
  <c r="R23" i="3"/>
  <c r="R27" i="3"/>
  <c r="R31" i="3"/>
  <c r="R25" i="3"/>
  <c r="R17" i="3"/>
  <c r="R32" i="3"/>
  <c r="R29" i="3"/>
  <c r="R19" i="3"/>
  <c r="R21" i="3"/>
  <c r="R30" i="3"/>
  <c r="R28" i="3"/>
  <c r="R18" i="3"/>
  <c r="R26" i="3"/>
  <c r="R22" i="3"/>
  <c r="R24" i="3"/>
  <c r="R20" i="3"/>
  <c r="P26" i="8"/>
  <c r="Q26" i="8" s="1"/>
  <c r="O26" i="8"/>
  <c r="G24" i="8"/>
  <c r="K24" i="8"/>
  <c r="L24" i="8" s="1"/>
  <c r="D25" i="8" s="1"/>
  <c r="R24" i="8"/>
  <c r="B25" i="8"/>
  <c r="R43" i="5"/>
  <c r="Q44" i="5"/>
  <c r="J25" i="8"/>
  <c r="F25" i="8"/>
  <c r="N27" i="8"/>
  <c r="Y28" i="8"/>
  <c r="X29" i="8"/>
  <c r="E28" i="8"/>
  <c r="R17" i="2"/>
  <c r="R19" i="2"/>
  <c r="R21" i="2"/>
  <c r="R23" i="2"/>
  <c r="R25" i="2"/>
  <c r="R27" i="2"/>
  <c r="R29" i="2"/>
  <c r="R31" i="2"/>
  <c r="R16" i="2"/>
  <c r="R18" i="2"/>
  <c r="R20" i="2"/>
  <c r="R22" i="2"/>
  <c r="R24" i="2"/>
  <c r="R26" i="2"/>
  <c r="R28" i="2"/>
  <c r="R30" i="2"/>
  <c r="R32" i="2"/>
  <c r="G25" i="8" l="1"/>
  <c r="P27" i="8"/>
  <c r="Q27" i="8" s="1"/>
  <c r="O27" i="8"/>
  <c r="J26" i="8"/>
  <c r="F26" i="8"/>
  <c r="R25" i="8"/>
  <c r="B26" i="8"/>
  <c r="K25" i="8"/>
  <c r="L25" i="8" s="1"/>
  <c r="D26" i="8" s="1"/>
  <c r="R44" i="5"/>
  <c r="Q45" i="5"/>
  <c r="S24" i="3"/>
  <c r="S28" i="3"/>
  <c r="S20" i="3"/>
  <c r="S26" i="3"/>
  <c r="S32" i="3"/>
  <c r="S18" i="3"/>
  <c r="S30" i="3"/>
  <c r="S22" i="3"/>
  <c r="S31" i="3"/>
  <c r="S16" i="3"/>
  <c r="S29" i="3"/>
  <c r="S33" i="3"/>
  <c r="S27" i="3"/>
  <c r="S23" i="3"/>
  <c r="AI52" i="3"/>
  <c r="S25" i="3"/>
  <c r="S19" i="3"/>
  <c r="S21" i="3"/>
  <c r="S17" i="3"/>
  <c r="N28" i="8"/>
  <c r="S18" i="2"/>
  <c r="S20" i="2"/>
  <c r="S22" i="2"/>
  <c r="S24" i="2"/>
  <c r="S26" i="2"/>
  <c r="S28" i="2"/>
  <c r="S30" i="2"/>
  <c r="S32" i="2"/>
  <c r="S16" i="2"/>
  <c r="S17" i="2"/>
  <c r="S19" i="2"/>
  <c r="S21" i="2"/>
  <c r="S23" i="2"/>
  <c r="S25" i="2"/>
  <c r="S27" i="2"/>
  <c r="S29" i="2"/>
  <c r="S31" i="2"/>
  <c r="S33" i="2"/>
  <c r="X30" i="8"/>
  <c r="Y29" i="8"/>
  <c r="E29" i="8"/>
  <c r="G26" i="8" l="1"/>
  <c r="T19" i="3"/>
  <c r="T18" i="3"/>
  <c r="T34" i="3"/>
  <c r="T29" i="3"/>
  <c r="T16" i="3"/>
  <c r="T30" i="3"/>
  <c r="T21" i="3"/>
  <c r="T20" i="3"/>
  <c r="T23" i="3"/>
  <c r="T22" i="3"/>
  <c r="T28" i="3"/>
  <c r="T17" i="3"/>
  <c r="T25" i="3"/>
  <c r="T24" i="3"/>
  <c r="T33" i="3"/>
  <c r="T27" i="3"/>
  <c r="T26" i="3"/>
  <c r="T31" i="3"/>
  <c r="T32" i="3"/>
  <c r="R26" i="8"/>
  <c r="B27" i="8"/>
  <c r="K26" i="8"/>
  <c r="L26" i="8" s="1"/>
  <c r="D27" i="8" s="1"/>
  <c r="J27" i="8"/>
  <c r="F27" i="8"/>
  <c r="Q46" i="5"/>
  <c r="R45" i="5"/>
  <c r="P28" i="8"/>
  <c r="Q28" i="8" s="1"/>
  <c r="O28" i="8"/>
  <c r="N29" i="8"/>
  <c r="Y30" i="8"/>
  <c r="X31" i="8"/>
  <c r="E30" i="8"/>
  <c r="T18" i="2"/>
  <c r="T20" i="2"/>
  <c r="T22" i="2"/>
  <c r="T24" i="2"/>
  <c r="T26" i="2"/>
  <c r="T28" i="2"/>
  <c r="T30" i="2"/>
  <c r="T32" i="2"/>
  <c r="T34" i="2"/>
  <c r="T17" i="2"/>
  <c r="T19" i="2"/>
  <c r="T21" i="2"/>
  <c r="T23" i="2"/>
  <c r="T25" i="2"/>
  <c r="T27" i="2"/>
  <c r="T29" i="2"/>
  <c r="T31" i="2"/>
  <c r="T33" i="2"/>
  <c r="T16" i="2"/>
  <c r="P29" i="8" l="1"/>
  <c r="Q29" i="8" s="1"/>
  <c r="O29" i="8"/>
  <c r="G27" i="8"/>
  <c r="J28" i="8"/>
  <c r="F28" i="8"/>
  <c r="U20" i="3"/>
  <c r="U17" i="3"/>
  <c r="U33" i="3"/>
  <c r="U22" i="3"/>
  <c r="U19" i="3"/>
  <c r="U35" i="3"/>
  <c r="U26" i="3"/>
  <c r="U30" i="3"/>
  <c r="U27" i="3"/>
  <c r="U18" i="3"/>
  <c r="U24" i="3"/>
  <c r="U21" i="3"/>
  <c r="U23" i="3"/>
  <c r="U16" i="3"/>
  <c r="U29" i="3"/>
  <c r="U34" i="3"/>
  <c r="U28" i="3"/>
  <c r="U25" i="3"/>
  <c r="U32" i="3"/>
  <c r="U31" i="3"/>
  <c r="R46" i="5"/>
  <c r="Q47" i="5"/>
  <c r="B28" i="8"/>
  <c r="K27" i="8"/>
  <c r="L27" i="8" s="1"/>
  <c r="D28" i="8" s="1"/>
  <c r="R27" i="8"/>
  <c r="N30" i="8"/>
  <c r="U17" i="2"/>
  <c r="U19" i="2"/>
  <c r="U21" i="2"/>
  <c r="U23" i="2"/>
  <c r="U25" i="2"/>
  <c r="U27" i="2"/>
  <c r="U29" i="2"/>
  <c r="U31" i="2"/>
  <c r="U33" i="2"/>
  <c r="U35" i="2"/>
  <c r="U18" i="2"/>
  <c r="U20" i="2"/>
  <c r="U22" i="2"/>
  <c r="U24" i="2"/>
  <c r="U26" i="2"/>
  <c r="U28" i="2"/>
  <c r="U30" i="2"/>
  <c r="U32" i="2"/>
  <c r="U34" i="2"/>
  <c r="U16" i="2"/>
  <c r="X32" i="8"/>
  <c r="Y31" i="8"/>
  <c r="E31" i="8"/>
  <c r="G28" i="8" l="1"/>
  <c r="R28" i="8"/>
  <c r="K28" i="8"/>
  <c r="L28" i="8" s="1"/>
  <c r="D29" i="8" s="1"/>
  <c r="B29" i="8"/>
  <c r="P30" i="8"/>
  <c r="Q30" i="8" s="1"/>
  <c r="O30" i="8"/>
  <c r="R47" i="5"/>
  <c r="Q48" i="5"/>
  <c r="V18" i="3"/>
  <c r="V34" i="3"/>
  <c r="V29" i="3"/>
  <c r="V20" i="3"/>
  <c r="V36" i="3"/>
  <c r="V31" i="3"/>
  <c r="V22" i="3"/>
  <c r="V17" i="3"/>
  <c r="V24" i="3"/>
  <c r="V33" i="3"/>
  <c r="V35" i="3"/>
  <c r="V16" i="3"/>
  <c r="V27" i="3"/>
  <c r="V19" i="3"/>
  <c r="V26" i="3"/>
  <c r="V21" i="3"/>
  <c r="V25" i="3"/>
  <c r="V32" i="3"/>
  <c r="V28" i="3"/>
  <c r="V23" i="3"/>
  <c r="V30" i="3"/>
  <c r="J29" i="8"/>
  <c r="F29" i="8"/>
  <c r="N31" i="8"/>
  <c r="Y32" i="8"/>
  <c r="X33" i="8"/>
  <c r="E32" i="8"/>
  <c r="V17" i="2"/>
  <c r="V19" i="2"/>
  <c r="V21" i="2"/>
  <c r="V23" i="2"/>
  <c r="V25" i="2"/>
  <c r="V27" i="2"/>
  <c r="V29" i="2"/>
  <c r="V31" i="2"/>
  <c r="V33" i="2"/>
  <c r="V35" i="2"/>
  <c r="V16" i="2"/>
  <c r="V18" i="2"/>
  <c r="V20" i="2"/>
  <c r="V22" i="2"/>
  <c r="V24" i="2"/>
  <c r="V26" i="2"/>
  <c r="V28" i="2"/>
  <c r="V30" i="2"/>
  <c r="V32" i="2"/>
  <c r="V34" i="2"/>
  <c r="V36" i="2"/>
  <c r="J30" i="8" l="1"/>
  <c r="F30" i="8"/>
  <c r="P31" i="8"/>
  <c r="Q31" i="8" s="1"/>
  <c r="O31" i="8"/>
  <c r="W27" i="3"/>
  <c r="W22" i="3"/>
  <c r="W29" i="3"/>
  <c r="W24" i="3"/>
  <c r="W16" i="3"/>
  <c r="W31" i="3"/>
  <c r="W26" i="3"/>
  <c r="W30" i="3"/>
  <c r="W21" i="3"/>
  <c r="W37" i="3"/>
  <c r="W25" i="3"/>
  <c r="W19" i="3"/>
  <c r="W32" i="3"/>
  <c r="W20" i="3"/>
  <c r="W23" i="3"/>
  <c r="W34" i="3"/>
  <c r="W17" i="3"/>
  <c r="W33" i="3"/>
  <c r="W28" i="3"/>
  <c r="W18" i="3"/>
  <c r="W35" i="3"/>
  <c r="W36" i="3"/>
  <c r="G29" i="8"/>
  <c r="B30" i="8"/>
  <c r="R29" i="8"/>
  <c r="K29" i="8"/>
  <c r="L29" i="8" s="1"/>
  <c r="D30" i="8" s="1"/>
  <c r="R48" i="5"/>
  <c r="Q49" i="5"/>
  <c r="W18" i="2"/>
  <c r="W20" i="2"/>
  <c r="W22" i="2"/>
  <c r="W24" i="2"/>
  <c r="W26" i="2"/>
  <c r="W28" i="2"/>
  <c r="W30" i="2"/>
  <c r="W32" i="2"/>
  <c r="W34" i="2"/>
  <c r="W36" i="2"/>
  <c r="W16" i="2"/>
  <c r="W17" i="2"/>
  <c r="W19" i="2"/>
  <c r="W21" i="2"/>
  <c r="W23" i="2"/>
  <c r="W25" i="2"/>
  <c r="W27" i="2"/>
  <c r="W29" i="2"/>
  <c r="W31" i="2"/>
  <c r="W33" i="2"/>
  <c r="W35" i="2"/>
  <c r="W37" i="2"/>
  <c r="N32" i="8"/>
  <c r="X34" i="8"/>
  <c r="Y33" i="8"/>
  <c r="E33" i="8"/>
  <c r="G30" i="8" l="1"/>
  <c r="J31" i="8"/>
  <c r="F31" i="8"/>
  <c r="P32" i="8"/>
  <c r="Q32" i="8" s="1"/>
  <c r="O32" i="8"/>
  <c r="X20" i="3"/>
  <c r="X18" i="3"/>
  <c r="X38" i="3"/>
  <c r="X16" i="3"/>
  <c r="X27" i="3"/>
  <c r="X17" i="3"/>
  <c r="X29" i="3"/>
  <c r="X28" i="3"/>
  <c r="X23" i="3"/>
  <c r="X34" i="3"/>
  <c r="X24" i="3"/>
  <c r="X22" i="3"/>
  <c r="X26" i="3"/>
  <c r="X32" i="3"/>
  <c r="X35" i="3"/>
  <c r="X30" i="3"/>
  <c r="X25" i="3"/>
  <c r="X37" i="3"/>
  <c r="X36" i="3"/>
  <c r="X19" i="3"/>
  <c r="X31" i="3"/>
  <c r="X33" i="3"/>
  <c r="X21" i="3"/>
  <c r="K30" i="8"/>
  <c r="L30" i="8" s="1"/>
  <c r="D31" i="8" s="1"/>
  <c r="B31" i="8"/>
  <c r="R30" i="8"/>
  <c r="Q50" i="5"/>
  <c r="R50" i="5" s="1"/>
  <c r="R49" i="5"/>
  <c r="Y34" i="8"/>
  <c r="X35" i="8"/>
  <c r="E34" i="8"/>
  <c r="X18" i="2"/>
  <c r="X20" i="2"/>
  <c r="X22" i="2"/>
  <c r="X24" i="2"/>
  <c r="X26" i="2"/>
  <c r="X28" i="2"/>
  <c r="X30" i="2"/>
  <c r="X32" i="2"/>
  <c r="X34" i="2"/>
  <c r="X36" i="2"/>
  <c r="X38" i="2"/>
  <c r="X17" i="2"/>
  <c r="X19" i="2"/>
  <c r="X21" i="2"/>
  <c r="X23" i="2"/>
  <c r="X25" i="2"/>
  <c r="X27" i="2"/>
  <c r="X29" i="2"/>
  <c r="X31" i="2"/>
  <c r="X33" i="2"/>
  <c r="X35" i="2"/>
  <c r="X37" i="2"/>
  <c r="X16" i="2"/>
  <c r="N33" i="8"/>
  <c r="J32" i="8" l="1"/>
  <c r="F32" i="8"/>
  <c r="K31" i="8"/>
  <c r="L31" i="8" s="1"/>
  <c r="D32" i="8" s="1"/>
  <c r="B32" i="8"/>
  <c r="R31" i="8"/>
  <c r="P33" i="8"/>
  <c r="Q33" i="8" s="1"/>
  <c r="O33" i="8"/>
  <c r="Y26" i="3"/>
  <c r="Y17" i="3"/>
  <c r="Y35" i="3"/>
  <c r="Y19" i="3"/>
  <c r="Y39" i="3"/>
  <c r="Y22" i="3"/>
  <c r="Y29" i="3"/>
  <c r="Y28" i="3"/>
  <c r="Y16" i="3"/>
  <c r="Y30" i="3"/>
  <c r="Y21" i="3"/>
  <c r="Y33" i="3"/>
  <c r="Y34" i="3"/>
  <c r="Y38" i="3"/>
  <c r="Y32" i="3"/>
  <c r="Y23" i="3"/>
  <c r="Y37" i="3"/>
  <c r="Y25" i="3"/>
  <c r="Y18" i="3"/>
  <c r="Y20" i="3"/>
  <c r="Y36" i="3"/>
  <c r="Y27" i="3"/>
  <c r="Y24" i="3"/>
  <c r="Y31" i="3"/>
  <c r="G31" i="8"/>
  <c r="N34" i="8"/>
  <c r="Y17" i="2"/>
  <c r="Y19" i="2"/>
  <c r="Y21" i="2"/>
  <c r="Y23" i="2"/>
  <c r="Y25" i="2"/>
  <c r="Y27" i="2"/>
  <c r="Y29" i="2"/>
  <c r="Y31" i="2"/>
  <c r="Y33" i="2"/>
  <c r="Y35" i="2"/>
  <c r="Y37" i="2"/>
  <c r="Y39" i="2"/>
  <c r="Y18" i="2"/>
  <c r="Y20" i="2"/>
  <c r="Y22" i="2"/>
  <c r="Y24" i="2"/>
  <c r="Y26" i="2"/>
  <c r="Y28" i="2"/>
  <c r="Y30" i="2"/>
  <c r="Y32" i="2"/>
  <c r="Y34" i="2"/>
  <c r="Y36" i="2"/>
  <c r="Y38" i="2"/>
  <c r="Y16" i="2"/>
  <c r="X36" i="8"/>
  <c r="Y35" i="8"/>
  <c r="E35" i="8"/>
  <c r="D33" i="8" l="1"/>
  <c r="P34" i="8"/>
  <c r="Q34" i="8" s="1"/>
  <c r="O34" i="8"/>
  <c r="G32" i="8"/>
  <c r="R32" i="8"/>
  <c r="B33" i="8"/>
  <c r="K32" i="8"/>
  <c r="L32" i="8" s="1"/>
  <c r="J33" i="8"/>
  <c r="F33" i="8"/>
  <c r="Z16" i="3"/>
  <c r="Z32" i="3"/>
  <c r="Z23" i="3"/>
  <c r="Z39" i="3"/>
  <c r="Z34" i="3"/>
  <c r="Z20" i="3"/>
  <c r="Z36" i="3"/>
  <c r="Z27" i="3"/>
  <c r="Z22" i="3"/>
  <c r="Z38" i="3"/>
  <c r="Z29" i="3"/>
  <c r="Z24" i="3"/>
  <c r="Z40" i="3"/>
  <c r="Z31" i="3"/>
  <c r="Z28" i="3"/>
  <c r="Z35" i="3"/>
  <c r="Z30" i="3"/>
  <c r="Z21" i="3"/>
  <c r="Z37" i="3"/>
  <c r="Z18" i="3"/>
  <c r="Z25" i="3"/>
  <c r="Z26" i="3"/>
  <c r="Z17" i="3"/>
  <c r="Z33" i="3"/>
  <c r="Z19" i="3"/>
  <c r="N35" i="8"/>
  <c r="Y36" i="8"/>
  <c r="X37" i="8"/>
  <c r="E36" i="8"/>
  <c r="Z17" i="2"/>
  <c r="Z19" i="2"/>
  <c r="Z21" i="2"/>
  <c r="Z23" i="2"/>
  <c r="Z25" i="2"/>
  <c r="Z27" i="2"/>
  <c r="Z29" i="2"/>
  <c r="Z31" i="2"/>
  <c r="Z33" i="2"/>
  <c r="Z35" i="2"/>
  <c r="Z37" i="2"/>
  <c r="Z39" i="2"/>
  <c r="Z16" i="2"/>
  <c r="Z18" i="2"/>
  <c r="Z20" i="2"/>
  <c r="Z22" i="2"/>
  <c r="Z24" i="2"/>
  <c r="Z26" i="2"/>
  <c r="Z28" i="2"/>
  <c r="Z30" i="2"/>
  <c r="Z32" i="2"/>
  <c r="Z34" i="2"/>
  <c r="Z36" i="2"/>
  <c r="Z38" i="2"/>
  <c r="Z40" i="2"/>
  <c r="G33" i="8" l="1"/>
  <c r="R33" i="8"/>
  <c r="B34" i="8"/>
  <c r="K33" i="8"/>
  <c r="L33" i="8" s="1"/>
  <c r="J34" i="8"/>
  <c r="F34" i="8"/>
  <c r="G34" i="8" s="1"/>
  <c r="P35" i="8"/>
  <c r="Q35" i="8" s="1"/>
  <c r="O35" i="8"/>
  <c r="AA37" i="3"/>
  <c r="AA21" i="3"/>
  <c r="AA32" i="3"/>
  <c r="AA35" i="3"/>
  <c r="AA19" i="3"/>
  <c r="AA30" i="3"/>
  <c r="AA33" i="3"/>
  <c r="AA17" i="3"/>
  <c r="AA28" i="3"/>
  <c r="AA16" i="3"/>
  <c r="AA26" i="3"/>
  <c r="AA40" i="3"/>
  <c r="AA27" i="3"/>
  <c r="AA38" i="3"/>
  <c r="AA22" i="3"/>
  <c r="AA34" i="3"/>
  <c r="AA23" i="3"/>
  <c r="AA31" i="3"/>
  <c r="AA29" i="3"/>
  <c r="AA24" i="3"/>
  <c r="AA41" i="3"/>
  <c r="AA36" i="3"/>
  <c r="AA25" i="3"/>
  <c r="AA20" i="3"/>
  <c r="AA39" i="3"/>
  <c r="AA18" i="3"/>
  <c r="D34" i="8"/>
  <c r="AA18" i="2"/>
  <c r="AA20" i="2"/>
  <c r="AA22" i="2"/>
  <c r="AA24" i="2"/>
  <c r="AA26" i="2"/>
  <c r="AA28" i="2"/>
  <c r="AA30" i="2"/>
  <c r="AA32" i="2"/>
  <c r="AA34" i="2"/>
  <c r="AA36" i="2"/>
  <c r="AA38" i="2"/>
  <c r="AA40" i="2"/>
  <c r="AA16" i="2"/>
  <c r="AA17" i="2"/>
  <c r="AA19" i="2"/>
  <c r="AA21" i="2"/>
  <c r="AA23" i="2"/>
  <c r="AA25" i="2"/>
  <c r="AA27" i="2"/>
  <c r="AA29" i="2"/>
  <c r="AA31" i="2"/>
  <c r="AA33" i="2"/>
  <c r="AA35" i="2"/>
  <c r="AA37" i="2"/>
  <c r="AA39" i="2"/>
  <c r="AA41" i="2"/>
  <c r="N36" i="8"/>
  <c r="X38" i="8"/>
  <c r="Y37" i="8"/>
  <c r="E37" i="8"/>
  <c r="B35" i="8" l="1"/>
  <c r="R34" i="8"/>
  <c r="K34" i="8"/>
  <c r="L34" i="8" s="1"/>
  <c r="J35" i="8"/>
  <c r="F35" i="8"/>
  <c r="D35" i="8"/>
  <c r="AB29" i="3"/>
  <c r="AB20" i="3"/>
  <c r="AB36" i="3"/>
  <c r="AB41" i="3"/>
  <c r="AB27" i="3"/>
  <c r="AB34" i="3"/>
  <c r="AB16" i="3"/>
  <c r="AB31" i="3"/>
  <c r="AB22" i="3"/>
  <c r="AB38" i="3"/>
  <c r="AB17" i="3"/>
  <c r="AB33" i="3"/>
  <c r="AB40" i="3"/>
  <c r="AB35" i="3"/>
  <c r="AB26" i="3"/>
  <c r="AB23" i="3"/>
  <c r="AB39" i="3"/>
  <c r="AB18" i="3"/>
  <c r="AB24" i="3"/>
  <c r="AB42" i="3"/>
  <c r="AB30" i="3"/>
  <c r="AB25" i="3"/>
  <c r="AB32" i="3"/>
  <c r="AB19" i="3"/>
  <c r="AB21" i="3"/>
  <c r="AB37" i="3"/>
  <c r="AB28" i="3"/>
  <c r="P36" i="8"/>
  <c r="Q36" i="8" s="1"/>
  <c r="O36" i="8"/>
  <c r="N37" i="8"/>
  <c r="Y38" i="8"/>
  <c r="X39" i="8"/>
  <c r="E38" i="8"/>
  <c r="AB18" i="2"/>
  <c r="AB20" i="2"/>
  <c r="AB22" i="2"/>
  <c r="AB24" i="2"/>
  <c r="AB26" i="2"/>
  <c r="AB28" i="2"/>
  <c r="AB30" i="2"/>
  <c r="AB32" i="2"/>
  <c r="AB34" i="2"/>
  <c r="AB36" i="2"/>
  <c r="AB38" i="2"/>
  <c r="AB40" i="2"/>
  <c r="AB42" i="2"/>
  <c r="AB17" i="2"/>
  <c r="AB19" i="2"/>
  <c r="AB21" i="2"/>
  <c r="AB23" i="2"/>
  <c r="AB25" i="2"/>
  <c r="AB27" i="2"/>
  <c r="AB29" i="2"/>
  <c r="AB31" i="2"/>
  <c r="AB33" i="2"/>
  <c r="AB35" i="2"/>
  <c r="AB37" i="2"/>
  <c r="AB39" i="2"/>
  <c r="AB41" i="2"/>
  <c r="AB16" i="2"/>
  <c r="AC20" i="3" l="1"/>
  <c r="AC36" i="3"/>
  <c r="AC23" i="3"/>
  <c r="AC39" i="3"/>
  <c r="AC22" i="3"/>
  <c r="AC38" i="3"/>
  <c r="AC25" i="3"/>
  <c r="AC41" i="3"/>
  <c r="AC21" i="3"/>
  <c r="AC35" i="3"/>
  <c r="AC34" i="3"/>
  <c r="AC24" i="3"/>
  <c r="AC40" i="3"/>
  <c r="AC27" i="3"/>
  <c r="AC43" i="3"/>
  <c r="AC26" i="3"/>
  <c r="AC42" i="3"/>
  <c r="AC29" i="3"/>
  <c r="AC30" i="3"/>
  <c r="AC17" i="3"/>
  <c r="AC32" i="3"/>
  <c r="AC19" i="3"/>
  <c r="AC18" i="3"/>
  <c r="AC37" i="3"/>
  <c r="AC16" i="3"/>
  <c r="AC31" i="3"/>
  <c r="AC28" i="3"/>
  <c r="AC33" i="3"/>
  <c r="K35" i="8"/>
  <c r="L35" i="8" s="1"/>
  <c r="R35" i="8"/>
  <c r="B36" i="8"/>
  <c r="D36" i="8"/>
  <c r="P37" i="8"/>
  <c r="Q37" i="8" s="1"/>
  <c r="O37" i="8"/>
  <c r="J36" i="8"/>
  <c r="F36" i="8"/>
  <c r="G35" i="8"/>
  <c r="N38" i="8"/>
  <c r="AC17" i="2"/>
  <c r="AC19" i="2"/>
  <c r="AC21" i="2"/>
  <c r="AC23" i="2"/>
  <c r="AC25" i="2"/>
  <c r="AC27" i="2"/>
  <c r="AC29" i="2"/>
  <c r="AC31" i="2"/>
  <c r="AC33" i="2"/>
  <c r="AC35" i="2"/>
  <c r="AC37" i="2"/>
  <c r="AC39" i="2"/>
  <c r="AC41" i="2"/>
  <c r="AC43" i="2"/>
  <c r="AC18" i="2"/>
  <c r="AC20" i="2"/>
  <c r="AC22" i="2"/>
  <c r="AC24" i="2"/>
  <c r="AC26" i="2"/>
  <c r="AC28" i="2"/>
  <c r="AC30" i="2"/>
  <c r="AC32" i="2"/>
  <c r="AC34" i="2"/>
  <c r="AC36" i="2"/>
  <c r="AC38" i="2"/>
  <c r="AC40" i="2"/>
  <c r="AC42" i="2"/>
  <c r="AC16" i="2"/>
  <c r="X40" i="8"/>
  <c r="Y39" i="8"/>
  <c r="E39" i="8"/>
  <c r="G36" i="8" l="1"/>
  <c r="B37" i="8"/>
  <c r="R36" i="8"/>
  <c r="K36" i="8"/>
  <c r="L36" i="8" s="1"/>
  <c r="D37" i="8" s="1"/>
  <c r="P38" i="8"/>
  <c r="Q38" i="8" s="1"/>
  <c r="O38" i="8"/>
  <c r="J37" i="8"/>
  <c r="F37" i="8"/>
  <c r="AD30" i="3"/>
  <c r="AD17" i="3"/>
  <c r="AD33" i="3"/>
  <c r="AD16" i="3"/>
  <c r="AD32" i="3"/>
  <c r="AD19" i="3"/>
  <c r="AD35" i="3"/>
  <c r="AD18" i="3"/>
  <c r="AD34" i="3"/>
  <c r="AD21" i="3"/>
  <c r="AD37" i="3"/>
  <c r="AD20" i="3"/>
  <c r="AD36" i="3"/>
  <c r="AD23" i="3"/>
  <c r="AD39" i="3"/>
  <c r="AD22" i="3"/>
  <c r="AD38" i="3"/>
  <c r="AD25" i="3"/>
  <c r="AD41" i="3"/>
  <c r="AD28" i="3"/>
  <c r="AD44" i="3"/>
  <c r="AD42" i="3"/>
  <c r="AD31" i="3"/>
  <c r="AD24" i="3"/>
  <c r="AD40" i="3"/>
  <c r="AD27" i="3"/>
  <c r="AD43" i="3"/>
  <c r="AD26" i="3"/>
  <c r="AD29" i="3"/>
  <c r="Y40" i="8"/>
  <c r="X41" i="8"/>
  <c r="E40" i="8"/>
  <c r="AD17" i="2"/>
  <c r="AD19" i="2"/>
  <c r="AD21" i="2"/>
  <c r="AD23" i="2"/>
  <c r="AD25" i="2"/>
  <c r="AD27" i="2"/>
  <c r="AD29" i="2"/>
  <c r="AD31" i="2"/>
  <c r="AD33" i="2"/>
  <c r="AD35" i="2"/>
  <c r="AD37" i="2"/>
  <c r="AD39" i="2"/>
  <c r="AD41" i="2"/>
  <c r="AD43" i="2"/>
  <c r="AD18" i="2"/>
  <c r="AD20" i="2"/>
  <c r="AD22" i="2"/>
  <c r="AD24" i="2"/>
  <c r="AD26" i="2"/>
  <c r="AD28" i="2"/>
  <c r="AD30" i="2"/>
  <c r="AD32" i="2"/>
  <c r="AD34" i="2"/>
  <c r="AD36" i="2"/>
  <c r="AD38" i="2"/>
  <c r="AD40" i="2"/>
  <c r="AD42" i="2"/>
  <c r="AD44" i="2"/>
  <c r="AD16" i="2"/>
  <c r="N39" i="8"/>
  <c r="R37" i="8" l="1"/>
  <c r="B38" i="8"/>
  <c r="K37" i="8"/>
  <c r="L37" i="8" s="1"/>
  <c r="D38" i="8" s="1"/>
  <c r="AE29" i="3"/>
  <c r="AE45" i="3"/>
  <c r="AE30" i="3"/>
  <c r="AE16" i="3"/>
  <c r="AE32" i="3"/>
  <c r="AE35" i="3"/>
  <c r="AE22" i="3"/>
  <c r="AE25" i="3"/>
  <c r="AE42" i="3"/>
  <c r="AE31" i="3"/>
  <c r="AE18" i="3"/>
  <c r="AE21" i="3"/>
  <c r="AE26" i="3"/>
  <c r="AE44" i="3"/>
  <c r="AE17" i="3"/>
  <c r="AE33" i="3"/>
  <c r="AE34" i="3"/>
  <c r="AE38" i="3"/>
  <c r="AE41" i="3"/>
  <c r="AE27" i="3"/>
  <c r="AE19" i="3"/>
  <c r="AE20" i="3"/>
  <c r="AE36" i="3"/>
  <c r="AE23" i="3"/>
  <c r="AE24" i="3"/>
  <c r="AE43" i="3"/>
  <c r="AE37" i="3"/>
  <c r="AE39" i="3"/>
  <c r="AE40" i="3"/>
  <c r="AE28" i="3"/>
  <c r="G37" i="8"/>
  <c r="J38" i="8"/>
  <c r="F38" i="8"/>
  <c r="P39" i="8"/>
  <c r="Q39" i="8" s="1"/>
  <c r="O39" i="8"/>
  <c r="N40" i="8"/>
  <c r="AE18" i="2"/>
  <c r="AE20" i="2"/>
  <c r="AE22" i="2"/>
  <c r="AE24" i="2"/>
  <c r="AE26" i="2"/>
  <c r="AE28" i="2"/>
  <c r="AE30" i="2"/>
  <c r="AE32" i="2"/>
  <c r="AE34" i="2"/>
  <c r="AE36" i="2"/>
  <c r="AE38" i="2"/>
  <c r="AE40" i="2"/>
  <c r="AE42" i="2"/>
  <c r="AE44" i="2"/>
  <c r="AE16" i="2"/>
  <c r="AE17" i="2"/>
  <c r="AE19" i="2"/>
  <c r="AE21" i="2"/>
  <c r="AE23" i="2"/>
  <c r="AE25" i="2"/>
  <c r="AE27" i="2"/>
  <c r="AE29" i="2"/>
  <c r="AE31" i="2"/>
  <c r="AE33" i="2"/>
  <c r="AE35" i="2"/>
  <c r="AE37" i="2"/>
  <c r="AE39" i="2"/>
  <c r="AE41" i="2"/>
  <c r="AE43" i="2"/>
  <c r="AE45" i="2"/>
  <c r="X42" i="8"/>
  <c r="Y41" i="8"/>
  <c r="E41" i="8"/>
  <c r="R38" i="8" l="1"/>
  <c r="B39" i="8"/>
  <c r="K38" i="8"/>
  <c r="L38" i="8" s="1"/>
  <c r="D39" i="8" s="1"/>
  <c r="AF28" i="3"/>
  <c r="AF64" i="3" s="1"/>
  <c r="AE64" i="3" s="1"/>
  <c r="AF44" i="3"/>
  <c r="AF80" i="3" s="1"/>
  <c r="AF30" i="3"/>
  <c r="AF66" i="3" s="1"/>
  <c r="AF46" i="3"/>
  <c r="AF82" i="3" s="1"/>
  <c r="AF32" i="3"/>
  <c r="AF68" i="3" s="1"/>
  <c r="AF17" i="3"/>
  <c r="AF53" i="3" s="1"/>
  <c r="AF35" i="3"/>
  <c r="AF71" i="3" s="1"/>
  <c r="AF25" i="3"/>
  <c r="AF61" i="3" s="1"/>
  <c r="AF43" i="3"/>
  <c r="AF79" i="3" s="1"/>
  <c r="AE79" i="3" s="1"/>
  <c r="AF29" i="3"/>
  <c r="AF65" i="3" s="1"/>
  <c r="AF45" i="3"/>
  <c r="AF81" i="3" s="1"/>
  <c r="AF31" i="3"/>
  <c r="AF67" i="3" s="1"/>
  <c r="AE67" i="3" s="1"/>
  <c r="AF16" i="3"/>
  <c r="AF52" i="3" s="1"/>
  <c r="AE52" i="3" s="1"/>
  <c r="AF18" i="3"/>
  <c r="AF54" i="3" s="1"/>
  <c r="AE54" i="3" s="1"/>
  <c r="AF34" i="3"/>
  <c r="AF70" i="3" s="1"/>
  <c r="AE70" i="3" s="1"/>
  <c r="AF19" i="3"/>
  <c r="AF55" i="3" s="1"/>
  <c r="AF33" i="3"/>
  <c r="AF69" i="3" s="1"/>
  <c r="AE69" i="3" s="1"/>
  <c r="AD69" i="3" s="1"/>
  <c r="AF41" i="3"/>
  <c r="AF77" i="3" s="1"/>
  <c r="AF20" i="3"/>
  <c r="AF56" i="3" s="1"/>
  <c r="AF36" i="3"/>
  <c r="AF72" i="3" s="1"/>
  <c r="AE72" i="3" s="1"/>
  <c r="AD72" i="3" s="1"/>
  <c r="AF22" i="3"/>
  <c r="AF58" i="3" s="1"/>
  <c r="AF38" i="3"/>
  <c r="AF74" i="3" s="1"/>
  <c r="AF24" i="3"/>
  <c r="AF60" i="3" s="1"/>
  <c r="AE60" i="3" s="1"/>
  <c r="AF26" i="3"/>
  <c r="AF62" i="3" s="1"/>
  <c r="AF42" i="3"/>
  <c r="AF78" i="3" s="1"/>
  <c r="AE78" i="3" s="1"/>
  <c r="AD78" i="3" s="1"/>
  <c r="AF27" i="3"/>
  <c r="AF63" i="3" s="1"/>
  <c r="AE63" i="3" s="1"/>
  <c r="AD63" i="3" s="1"/>
  <c r="AF21" i="3"/>
  <c r="AF57" i="3" s="1"/>
  <c r="AE57" i="3" s="1"/>
  <c r="AF37" i="3"/>
  <c r="AF73" i="3" s="1"/>
  <c r="AE73" i="3" s="1"/>
  <c r="AF23" i="3"/>
  <c r="AF59" i="3" s="1"/>
  <c r="AE59" i="3" s="1"/>
  <c r="AD59" i="3" s="1"/>
  <c r="AF39" i="3"/>
  <c r="AF75" i="3" s="1"/>
  <c r="AE75" i="3" s="1"/>
  <c r="AF40" i="3"/>
  <c r="AF76" i="3" s="1"/>
  <c r="P40" i="8"/>
  <c r="Q40" i="8" s="1"/>
  <c r="O40" i="8"/>
  <c r="J39" i="8"/>
  <c r="F39" i="8"/>
  <c r="G38" i="8"/>
  <c r="N41" i="8"/>
  <c r="AF18" i="2"/>
  <c r="AF54" i="2" s="1"/>
  <c r="AF20" i="2"/>
  <c r="AF56" i="2" s="1"/>
  <c r="AF22" i="2"/>
  <c r="AF58" i="2" s="1"/>
  <c r="AF24" i="2"/>
  <c r="AF60" i="2" s="1"/>
  <c r="AF26" i="2"/>
  <c r="AF62" i="2" s="1"/>
  <c r="AF28" i="2"/>
  <c r="AF64" i="2" s="1"/>
  <c r="AF30" i="2"/>
  <c r="AF66" i="2" s="1"/>
  <c r="AF32" i="2"/>
  <c r="AF68" i="2" s="1"/>
  <c r="AF34" i="2"/>
  <c r="AF70" i="2" s="1"/>
  <c r="AF36" i="2"/>
  <c r="AF72" i="2" s="1"/>
  <c r="AF38" i="2"/>
  <c r="AF74" i="2" s="1"/>
  <c r="AF40" i="2"/>
  <c r="AF76" i="2" s="1"/>
  <c r="AF42" i="2"/>
  <c r="AF78" i="2" s="1"/>
  <c r="AF44" i="2"/>
  <c r="AF80" i="2" s="1"/>
  <c r="AF46" i="2"/>
  <c r="AF82" i="2" s="1"/>
  <c r="AF17" i="2"/>
  <c r="AF53" i="2" s="1"/>
  <c r="AF19" i="2"/>
  <c r="AF55" i="2" s="1"/>
  <c r="AE55" i="2" s="1"/>
  <c r="AF21" i="2"/>
  <c r="AF57" i="2" s="1"/>
  <c r="AF23" i="2"/>
  <c r="AF59" i="2" s="1"/>
  <c r="AF25" i="2"/>
  <c r="AF61" i="2" s="1"/>
  <c r="AE61" i="2" s="1"/>
  <c r="AF27" i="2"/>
  <c r="AF63" i="2" s="1"/>
  <c r="AF29" i="2"/>
  <c r="AF65" i="2" s="1"/>
  <c r="AE65" i="2" s="1"/>
  <c r="AF31" i="2"/>
  <c r="AF67" i="2" s="1"/>
  <c r="AE67" i="2" s="1"/>
  <c r="AF33" i="2"/>
  <c r="AF69" i="2" s="1"/>
  <c r="AF35" i="2"/>
  <c r="AF71" i="2" s="1"/>
  <c r="AE71" i="2" s="1"/>
  <c r="AF37" i="2"/>
  <c r="AF73" i="2" s="1"/>
  <c r="AF39" i="2"/>
  <c r="AF75" i="2" s="1"/>
  <c r="AF41" i="2"/>
  <c r="AF77" i="2" s="1"/>
  <c r="AE77" i="2" s="1"/>
  <c r="AF43" i="2"/>
  <c r="AF79" i="2" s="1"/>
  <c r="AF45" i="2"/>
  <c r="AF81" i="2" s="1"/>
  <c r="AE81" i="2" s="1"/>
  <c r="AF16" i="2"/>
  <c r="AF52" i="2" s="1"/>
  <c r="AE52" i="2" s="1"/>
  <c r="Y42" i="8"/>
  <c r="X43" i="8"/>
  <c r="E42" i="8"/>
  <c r="AE59" i="2" l="1"/>
  <c r="G39" i="8"/>
  <c r="AE66" i="3"/>
  <c r="AD66" i="3" s="1"/>
  <c r="AE73" i="2"/>
  <c r="AE57" i="2"/>
  <c r="R39" i="8"/>
  <c r="B40" i="8"/>
  <c r="K39" i="8"/>
  <c r="L39" i="8" s="1"/>
  <c r="D40" i="8" s="1"/>
  <c r="AE77" i="3"/>
  <c r="AD77" i="3" s="1"/>
  <c r="AC77" i="3" s="1"/>
  <c r="AE65" i="3"/>
  <c r="AD65" i="3" s="1"/>
  <c r="AC65" i="3" s="1"/>
  <c r="AE80" i="3"/>
  <c r="AE56" i="3"/>
  <c r="AD56" i="3" s="1"/>
  <c r="J40" i="8"/>
  <c r="F40" i="8"/>
  <c r="AD79" i="3"/>
  <c r="AE81" i="3"/>
  <c r="AC78" i="3"/>
  <c r="AE69" i="2"/>
  <c r="AE53" i="2"/>
  <c r="AE62" i="3"/>
  <c r="AD62" i="3" s="1"/>
  <c r="AC62" i="3" s="1"/>
  <c r="AE55" i="3"/>
  <c r="AD55" i="3" s="1"/>
  <c r="AC55" i="3" s="1"/>
  <c r="AE61" i="3"/>
  <c r="AD61" i="3" s="1"/>
  <c r="AC61" i="3" s="1"/>
  <c r="AB61" i="3" s="1"/>
  <c r="AE75" i="2"/>
  <c r="AD52" i="2"/>
  <c r="AE76" i="3"/>
  <c r="AE71" i="3"/>
  <c r="AD71" i="3" s="1"/>
  <c r="AC71" i="3" s="1"/>
  <c r="AD54" i="3"/>
  <c r="AC54" i="3" s="1"/>
  <c r="AB54" i="3" s="1"/>
  <c r="AE53" i="3"/>
  <c r="AD53" i="3" s="1"/>
  <c r="AD75" i="3"/>
  <c r="AE74" i="3"/>
  <c r="AD74" i="3" s="1"/>
  <c r="AC74" i="3" s="1"/>
  <c r="AE79" i="2"/>
  <c r="AE63" i="2"/>
  <c r="P41" i="8"/>
  <c r="Q41" i="8" s="1"/>
  <c r="O41" i="8"/>
  <c r="AE58" i="3"/>
  <c r="AD58" i="3" s="1"/>
  <c r="AC58" i="3" s="1"/>
  <c r="AE68" i="3"/>
  <c r="AD68" i="3" s="1"/>
  <c r="AC68" i="3" s="1"/>
  <c r="X44" i="8"/>
  <c r="Y43" i="8"/>
  <c r="E43" i="8"/>
  <c r="AE78" i="2"/>
  <c r="AD78" i="2" s="1"/>
  <c r="AE74" i="2"/>
  <c r="AD74" i="2" s="1"/>
  <c r="AE70" i="2"/>
  <c r="AD70" i="2" s="1"/>
  <c r="AE66" i="2"/>
  <c r="AD66" i="2" s="1"/>
  <c r="AE62" i="2"/>
  <c r="AD62" i="2" s="1"/>
  <c r="AE58" i="2"/>
  <c r="AD58" i="2" s="1"/>
  <c r="AE54" i="2"/>
  <c r="AD54" i="2" s="1"/>
  <c r="N42" i="8"/>
  <c r="AD77" i="2"/>
  <c r="AC77" i="2" s="1"/>
  <c r="AD65" i="2"/>
  <c r="AC65" i="2" s="1"/>
  <c r="AD57" i="2"/>
  <c r="AD53" i="2"/>
  <c r="AC53" i="2" s="1"/>
  <c r="AE80" i="2"/>
  <c r="AD80" i="2" s="1"/>
  <c r="AE76" i="2"/>
  <c r="AD76" i="2" s="1"/>
  <c r="AC76" i="2" s="1"/>
  <c r="AB76" i="2" s="1"/>
  <c r="AE72" i="2"/>
  <c r="AD72" i="2" s="1"/>
  <c r="AE68" i="2"/>
  <c r="AD68" i="2" s="1"/>
  <c r="AE64" i="2"/>
  <c r="AD64" i="2" s="1"/>
  <c r="AC64" i="2" s="1"/>
  <c r="AB64" i="2" s="1"/>
  <c r="AE60" i="2"/>
  <c r="AD60" i="2" s="1"/>
  <c r="AE56" i="2"/>
  <c r="AD56" i="2" s="1"/>
  <c r="AC56" i="2" s="1"/>
  <c r="D41" i="8" l="1"/>
  <c r="AD69" i="2"/>
  <c r="AC69" i="2" s="1"/>
  <c r="AD52" i="3"/>
  <c r="AC52" i="3" s="1"/>
  <c r="AC75" i="3"/>
  <c r="AB75" i="3" s="1"/>
  <c r="AA75" i="3" s="1"/>
  <c r="Z75" i="3" s="1"/>
  <c r="AD57" i="3"/>
  <c r="AC57" i="3" s="1"/>
  <c r="AB57" i="3" s="1"/>
  <c r="AD67" i="3"/>
  <c r="AC67" i="3" s="1"/>
  <c r="AB67" i="3" s="1"/>
  <c r="AD73" i="2"/>
  <c r="AC73" i="2" s="1"/>
  <c r="AC53" i="3"/>
  <c r="AB53" i="3" s="1"/>
  <c r="AA53" i="3" s="1"/>
  <c r="AD73" i="3"/>
  <c r="AD80" i="3"/>
  <c r="AC79" i="3" s="1"/>
  <c r="AB78" i="3" s="1"/>
  <c r="AD70" i="3"/>
  <c r="AD64" i="3"/>
  <c r="AC66" i="3"/>
  <c r="AB66" i="3" s="1"/>
  <c r="AA66" i="3" s="1"/>
  <c r="AB56" i="2"/>
  <c r="AC57" i="2"/>
  <c r="AD60" i="3"/>
  <c r="G40" i="8"/>
  <c r="J41" i="8"/>
  <c r="F41" i="8"/>
  <c r="AB77" i="3"/>
  <c r="AC60" i="2"/>
  <c r="AB60" i="2" s="1"/>
  <c r="AD61" i="2"/>
  <c r="AC61" i="2" s="1"/>
  <c r="P42" i="8"/>
  <c r="Q42" i="8" s="1"/>
  <c r="O42" i="8"/>
  <c r="AD76" i="3"/>
  <c r="AC76" i="3" s="1"/>
  <c r="AB76" i="3" s="1"/>
  <c r="AA76" i="3" s="1"/>
  <c r="B41" i="8"/>
  <c r="R40" i="8"/>
  <c r="K40" i="8"/>
  <c r="L40" i="8" s="1"/>
  <c r="N43" i="8"/>
  <c r="Y44" i="8"/>
  <c r="X45" i="8"/>
  <c r="E44" i="8"/>
  <c r="AD59" i="2"/>
  <c r="AC59" i="2" s="1"/>
  <c r="AB59" i="2" s="1"/>
  <c r="AA59" i="2" s="1"/>
  <c r="AD67" i="2"/>
  <c r="AC67" i="2" s="1"/>
  <c r="AD75" i="2"/>
  <c r="AC75" i="2" s="1"/>
  <c r="AB75" i="2" s="1"/>
  <c r="AA75" i="2" s="1"/>
  <c r="AC52" i="2"/>
  <c r="AB52" i="2" s="1"/>
  <c r="AD55" i="2"/>
  <c r="AC55" i="2" s="1"/>
  <c r="AB55" i="2" s="1"/>
  <c r="AA55" i="2" s="1"/>
  <c r="AD63" i="2"/>
  <c r="AC63" i="2" s="1"/>
  <c r="AB63" i="2" s="1"/>
  <c r="AA63" i="2" s="1"/>
  <c r="AD71" i="2"/>
  <c r="AC71" i="2" s="1"/>
  <c r="AD79" i="2"/>
  <c r="AC79" i="2" s="1"/>
  <c r="P43" i="8" l="1"/>
  <c r="Q43" i="8" s="1"/>
  <c r="O43" i="8"/>
  <c r="AC64" i="3"/>
  <c r="AB64" i="3" s="1"/>
  <c r="AC63" i="3"/>
  <c r="AB52" i="3"/>
  <c r="AA52" i="3" s="1"/>
  <c r="Z52" i="3" s="1"/>
  <c r="AC74" i="2"/>
  <c r="J42" i="8"/>
  <c r="F42" i="8"/>
  <c r="AC60" i="3"/>
  <c r="AB60" i="3" s="1"/>
  <c r="AA60" i="3" s="1"/>
  <c r="AC59" i="3"/>
  <c r="AC68" i="2"/>
  <c r="AB68" i="2" s="1"/>
  <c r="AC66" i="2"/>
  <c r="AB66" i="2" s="1"/>
  <c r="AC58" i="2"/>
  <c r="AC70" i="3"/>
  <c r="AB70" i="3" s="1"/>
  <c r="AC69" i="3"/>
  <c r="AC72" i="2"/>
  <c r="AB72" i="2" s="1"/>
  <c r="AC56" i="3"/>
  <c r="AB71" i="2"/>
  <c r="AA71" i="2" s="1"/>
  <c r="G41" i="8"/>
  <c r="K41" i="8"/>
  <c r="L41" i="8" s="1"/>
  <c r="D42" i="8" s="1"/>
  <c r="B42" i="8"/>
  <c r="R41" i="8"/>
  <c r="AC73" i="3"/>
  <c r="AB73" i="3" s="1"/>
  <c r="AA73" i="3" s="1"/>
  <c r="Z73" i="3" s="1"/>
  <c r="Y73" i="3" s="1"/>
  <c r="X73" i="3" s="1"/>
  <c r="AC72" i="3"/>
  <c r="AA77" i="3"/>
  <c r="Z76" i="3" s="1"/>
  <c r="Y75" i="3" s="1"/>
  <c r="AB65" i="3"/>
  <c r="AA65" i="3" s="1"/>
  <c r="Z65" i="3" s="1"/>
  <c r="AB74" i="3"/>
  <c r="AA74" i="3" s="1"/>
  <c r="Z74" i="3" s="1"/>
  <c r="Y74" i="3" s="1"/>
  <c r="N44" i="8"/>
  <c r="AC78" i="2"/>
  <c r="AC62" i="2"/>
  <c r="X46" i="8"/>
  <c r="Y45" i="8"/>
  <c r="E45" i="8"/>
  <c r="AC70" i="2"/>
  <c r="AC54" i="2"/>
  <c r="AB72" i="3" l="1"/>
  <c r="AA72" i="3" s="1"/>
  <c r="Z72" i="3" s="1"/>
  <c r="Y72" i="3" s="1"/>
  <c r="X72" i="3" s="1"/>
  <c r="W72" i="3" s="1"/>
  <c r="AB71" i="3"/>
  <c r="AA71" i="3" s="1"/>
  <c r="Z71" i="3" s="1"/>
  <c r="Y71" i="3" s="1"/>
  <c r="X71" i="3" s="1"/>
  <c r="W71" i="3" s="1"/>
  <c r="V71" i="3" s="1"/>
  <c r="AA64" i="3"/>
  <c r="Z64" i="3" s="1"/>
  <c r="Y64" i="3" s="1"/>
  <c r="AA70" i="3"/>
  <c r="Z70" i="3" s="1"/>
  <c r="Y70" i="3" s="1"/>
  <c r="X70" i="3" s="1"/>
  <c r="W70" i="3" s="1"/>
  <c r="V70" i="3" s="1"/>
  <c r="U70" i="3" s="1"/>
  <c r="AB58" i="2"/>
  <c r="AA58" i="2" s="1"/>
  <c r="Z58" i="2" s="1"/>
  <c r="AB57" i="2"/>
  <c r="AB59" i="3"/>
  <c r="AA59" i="3" s="1"/>
  <c r="Z59" i="3" s="1"/>
  <c r="AB58" i="3"/>
  <c r="J43" i="8"/>
  <c r="F43" i="8"/>
  <c r="AB69" i="3"/>
  <c r="AA69" i="3" s="1"/>
  <c r="Z69" i="3" s="1"/>
  <c r="Y69" i="3" s="1"/>
  <c r="X69" i="3" s="1"/>
  <c r="W69" i="3" s="1"/>
  <c r="V69" i="3" s="1"/>
  <c r="U69" i="3" s="1"/>
  <c r="T69" i="3" s="1"/>
  <c r="AB68" i="3"/>
  <c r="AB74" i="2"/>
  <c r="AA74" i="2" s="1"/>
  <c r="Z74" i="2" s="1"/>
  <c r="AB73" i="2"/>
  <c r="AA66" i="2"/>
  <c r="Z66" i="2" s="1"/>
  <c r="P44" i="8"/>
  <c r="Q44" i="8" s="1"/>
  <c r="O44" i="8"/>
  <c r="AB65" i="2"/>
  <c r="AA64" i="2" s="1"/>
  <c r="AB56" i="3"/>
  <c r="AA56" i="3" s="1"/>
  <c r="AB55" i="3"/>
  <c r="K42" i="8"/>
  <c r="L42" i="8" s="1"/>
  <c r="D43" i="8" s="1"/>
  <c r="B43" i="8"/>
  <c r="R42" i="8"/>
  <c r="G42" i="8"/>
  <c r="AB63" i="3"/>
  <c r="AA63" i="3" s="1"/>
  <c r="Z63" i="3" s="1"/>
  <c r="Y63" i="3" s="1"/>
  <c r="X63" i="3" s="1"/>
  <c r="AB62" i="3"/>
  <c r="X74" i="3"/>
  <c r="W73" i="3" s="1"/>
  <c r="AB67" i="2"/>
  <c r="AA67" i="2" s="1"/>
  <c r="AB54" i="2"/>
  <c r="AA54" i="2" s="1"/>
  <c r="Z54" i="2" s="1"/>
  <c r="AB53" i="2"/>
  <c r="AB78" i="2"/>
  <c r="AB77" i="2"/>
  <c r="AA65" i="2"/>
  <c r="Z65" i="2" s="1"/>
  <c r="Y65" i="2" s="1"/>
  <c r="AB70" i="2"/>
  <c r="AA70" i="2" s="1"/>
  <c r="Z70" i="2" s="1"/>
  <c r="AB69" i="2"/>
  <c r="N45" i="8"/>
  <c r="Y46" i="8"/>
  <c r="X47" i="8"/>
  <c r="E46" i="8"/>
  <c r="AB62" i="2"/>
  <c r="AA62" i="2" s="1"/>
  <c r="Z62" i="2" s="1"/>
  <c r="AB61" i="2"/>
  <c r="P45" i="8" l="1"/>
  <c r="Q45" i="8" s="1"/>
  <c r="O45" i="8"/>
  <c r="AA62" i="3"/>
  <c r="Z62" i="3" s="1"/>
  <c r="Y62" i="3" s="1"/>
  <c r="X62" i="3" s="1"/>
  <c r="W62" i="3" s="1"/>
  <c r="AA61" i="3"/>
  <c r="AA68" i="3"/>
  <c r="Z68" i="3" s="1"/>
  <c r="Y68" i="3" s="1"/>
  <c r="X68" i="3" s="1"/>
  <c r="W68" i="3" s="1"/>
  <c r="V68" i="3" s="1"/>
  <c r="U68" i="3" s="1"/>
  <c r="T68" i="3" s="1"/>
  <c r="S68" i="3" s="1"/>
  <c r="AA67" i="3"/>
  <c r="J44" i="8"/>
  <c r="F44" i="8"/>
  <c r="AA58" i="3"/>
  <c r="Z58" i="3" s="1"/>
  <c r="Y58" i="3" s="1"/>
  <c r="AA57" i="3"/>
  <c r="Z57" i="3" s="1"/>
  <c r="Y57" i="3" s="1"/>
  <c r="X57" i="3" s="1"/>
  <c r="V72" i="3"/>
  <c r="U71" i="3" s="1"/>
  <c r="T70" i="3" s="1"/>
  <c r="S69" i="3" s="1"/>
  <c r="G43" i="8"/>
  <c r="AA55" i="3"/>
  <c r="Z55" i="3" s="1"/>
  <c r="AA54" i="3"/>
  <c r="AA73" i="2"/>
  <c r="Z73" i="2" s="1"/>
  <c r="Y73" i="2" s="1"/>
  <c r="AA72" i="2"/>
  <c r="B44" i="8"/>
  <c r="R43" i="8"/>
  <c r="K43" i="8"/>
  <c r="L43" i="8" s="1"/>
  <c r="D44" i="8" s="1"/>
  <c r="AA57" i="2"/>
  <c r="Z57" i="2" s="1"/>
  <c r="Y57" i="2" s="1"/>
  <c r="AA56" i="2"/>
  <c r="Y47" i="8"/>
  <c r="E47" i="8"/>
  <c r="X6" i="8"/>
  <c r="X5" i="8"/>
  <c r="AA69" i="2"/>
  <c r="Z69" i="2" s="1"/>
  <c r="Y69" i="2" s="1"/>
  <c r="AA68" i="2"/>
  <c r="Z64" i="2"/>
  <c r="Y64" i="2" s="1"/>
  <c r="X64" i="2" s="1"/>
  <c r="Z63" i="2"/>
  <c r="Y62" i="2" s="1"/>
  <c r="AA61" i="2"/>
  <c r="Z61" i="2" s="1"/>
  <c r="Y61" i="2" s="1"/>
  <c r="AA60" i="2"/>
  <c r="N46" i="8"/>
  <c r="AA77" i="2"/>
  <c r="AA76" i="2"/>
  <c r="AA53" i="2"/>
  <c r="Z53" i="2" s="1"/>
  <c r="Y53" i="2" s="1"/>
  <c r="AA52" i="2"/>
  <c r="Z52" i="2" s="1"/>
  <c r="Y52" i="2" s="1"/>
  <c r="X52" i="2" s="1"/>
  <c r="Z67" i="3" l="1"/>
  <c r="Y67" i="3" s="1"/>
  <c r="X67" i="3" s="1"/>
  <c r="W67" i="3" s="1"/>
  <c r="V67" i="3" s="1"/>
  <c r="U67" i="3" s="1"/>
  <c r="T67" i="3" s="1"/>
  <c r="S67" i="3" s="1"/>
  <c r="R67" i="3" s="1"/>
  <c r="Q67" i="3" s="1"/>
  <c r="Z66" i="3"/>
  <c r="Z72" i="2"/>
  <c r="Y72" i="2" s="1"/>
  <c r="X72" i="2" s="1"/>
  <c r="Z71" i="2"/>
  <c r="J45" i="8"/>
  <c r="F45" i="8"/>
  <c r="P46" i="8"/>
  <c r="Q46" i="8" s="1"/>
  <c r="O46" i="8"/>
  <c r="Z54" i="3"/>
  <c r="Y54" i="3" s="1"/>
  <c r="Z53" i="3"/>
  <c r="Y55" i="3"/>
  <c r="X55" i="3" s="1"/>
  <c r="W55" i="3" s="1"/>
  <c r="V55" i="3" s="1"/>
  <c r="K44" i="8"/>
  <c r="L44" i="8" s="1"/>
  <c r="D45" i="8" s="1"/>
  <c r="B45" i="8"/>
  <c r="R44" i="8"/>
  <c r="R68" i="3"/>
  <c r="Z56" i="2"/>
  <c r="Y56" i="2" s="1"/>
  <c r="X56" i="2" s="1"/>
  <c r="Z55" i="2"/>
  <c r="Z61" i="3"/>
  <c r="Y61" i="3" s="1"/>
  <c r="X61" i="3" s="1"/>
  <c r="W61" i="3" s="1"/>
  <c r="V61" i="3" s="1"/>
  <c r="Z60" i="3"/>
  <c r="G44" i="8"/>
  <c r="Z56" i="3"/>
  <c r="Y56" i="3" s="1"/>
  <c r="X56" i="3" s="1"/>
  <c r="W56" i="3" s="1"/>
  <c r="Z76" i="2"/>
  <c r="Z75" i="2"/>
  <c r="Z60" i="2"/>
  <c r="Y60" i="2" s="1"/>
  <c r="X60" i="2" s="1"/>
  <c r="Z59" i="2"/>
  <c r="Y5" i="8"/>
  <c r="Y6" i="8"/>
  <c r="Z68" i="2"/>
  <c r="Y68" i="2" s="1"/>
  <c r="X68" i="2" s="1"/>
  <c r="Z67" i="2"/>
  <c r="F47" i="8"/>
  <c r="X61" i="2"/>
  <c r="Y63" i="2"/>
  <c r="X63" i="2" s="1"/>
  <c r="W63" i="2" s="1"/>
  <c r="Y60" i="3" l="1"/>
  <c r="X60" i="3" s="1"/>
  <c r="W60" i="3" s="1"/>
  <c r="V60" i="3" s="1"/>
  <c r="U60" i="3" s="1"/>
  <c r="Y59" i="3"/>
  <c r="G45" i="8"/>
  <c r="K45" i="8"/>
  <c r="L45" i="8" s="1"/>
  <c r="D46" i="8" s="1"/>
  <c r="B46" i="8"/>
  <c r="R45" i="8"/>
  <c r="Y53" i="3"/>
  <c r="X53" i="3" s="1"/>
  <c r="W53" i="3" s="1"/>
  <c r="V53" i="3" s="1"/>
  <c r="U53" i="3" s="1"/>
  <c r="T53" i="3" s="1"/>
  <c r="Y52" i="3"/>
  <c r="Y55" i="2"/>
  <c r="X55" i="2" s="1"/>
  <c r="W55" i="2" s="1"/>
  <c r="Y54" i="2"/>
  <c r="X54" i="3"/>
  <c r="W54" i="3" s="1"/>
  <c r="V54" i="3" s="1"/>
  <c r="U54" i="3" s="1"/>
  <c r="Y71" i="2"/>
  <c r="X71" i="2" s="1"/>
  <c r="W71" i="2" s="1"/>
  <c r="Y70" i="2"/>
  <c r="Y66" i="3"/>
  <c r="X66" i="3" s="1"/>
  <c r="W66" i="3" s="1"/>
  <c r="V66" i="3" s="1"/>
  <c r="U66" i="3" s="1"/>
  <c r="T66" i="3" s="1"/>
  <c r="S66" i="3" s="1"/>
  <c r="R66" i="3" s="1"/>
  <c r="Q66" i="3" s="1"/>
  <c r="P66" i="3" s="1"/>
  <c r="Y65" i="3"/>
  <c r="J46" i="8"/>
  <c r="F46" i="8"/>
  <c r="Y67" i="2"/>
  <c r="X67" i="2" s="1"/>
  <c r="W67" i="2" s="1"/>
  <c r="Y66" i="2"/>
  <c r="X62" i="2"/>
  <c r="W62" i="2" s="1"/>
  <c r="V62" i="2" s="1"/>
  <c r="W60" i="2"/>
  <c r="Y59" i="2"/>
  <c r="X59" i="2" s="1"/>
  <c r="W59" i="2" s="1"/>
  <c r="V59" i="2" s="1"/>
  <c r="Y58" i="2"/>
  <c r="Y75" i="2"/>
  <c r="Y74" i="2"/>
  <c r="K46" i="8" l="1"/>
  <c r="L46" i="8" s="1"/>
  <c r="D47" i="8" s="1"/>
  <c r="J47" i="8"/>
  <c r="K47" i="8" s="1"/>
  <c r="L47" i="8" s="1"/>
  <c r="R46" i="8"/>
  <c r="B47" i="8"/>
  <c r="X70" i="2"/>
  <c r="W70" i="2" s="1"/>
  <c r="V70" i="2" s="1"/>
  <c r="X69" i="2"/>
  <c r="G46" i="8"/>
  <c r="W61" i="2"/>
  <c r="V61" i="2" s="1"/>
  <c r="U61" i="2" s="1"/>
  <c r="X54" i="2"/>
  <c r="W54" i="2" s="1"/>
  <c r="V54" i="2" s="1"/>
  <c r="X53" i="2"/>
  <c r="X65" i="3"/>
  <c r="W65" i="3" s="1"/>
  <c r="V65" i="3" s="1"/>
  <c r="U65" i="3" s="1"/>
  <c r="T65" i="3" s="1"/>
  <c r="S65" i="3" s="1"/>
  <c r="R65" i="3" s="1"/>
  <c r="Q65" i="3" s="1"/>
  <c r="P65" i="3" s="1"/>
  <c r="O65" i="3" s="1"/>
  <c r="X64" i="3"/>
  <c r="X59" i="3"/>
  <c r="W59" i="3" s="1"/>
  <c r="V59" i="3" s="1"/>
  <c r="U59" i="3" s="1"/>
  <c r="T59" i="3" s="1"/>
  <c r="X58" i="3"/>
  <c r="X52" i="3"/>
  <c r="W52" i="3" s="1"/>
  <c r="V52" i="3" s="1"/>
  <c r="U52" i="3" s="1"/>
  <c r="T52" i="3" s="1"/>
  <c r="S52" i="3" s="1"/>
  <c r="X74" i="2"/>
  <c r="X73" i="2"/>
  <c r="X58" i="2"/>
  <c r="W58" i="2" s="1"/>
  <c r="V58" i="2" s="1"/>
  <c r="U58" i="2" s="1"/>
  <c r="X57" i="2"/>
  <c r="X66" i="2"/>
  <c r="W66" i="2" s="1"/>
  <c r="V66" i="2" s="1"/>
  <c r="X65" i="2"/>
  <c r="V60" i="2"/>
  <c r="U60" i="2" s="1"/>
  <c r="T60" i="2" s="1"/>
  <c r="W64" i="3" l="1"/>
  <c r="V64" i="3" s="1"/>
  <c r="U64" i="3" s="1"/>
  <c r="T64" i="3" s="1"/>
  <c r="S64" i="3" s="1"/>
  <c r="R64" i="3" s="1"/>
  <c r="Q64" i="3" s="1"/>
  <c r="P64" i="3" s="1"/>
  <c r="O64" i="3" s="1"/>
  <c r="N64" i="3" s="1"/>
  <c r="W63" i="3"/>
  <c r="G47" i="8"/>
  <c r="J5" i="8" s="1"/>
  <c r="J6" i="8" s="1"/>
  <c r="J7" i="8" s="1"/>
  <c r="W69" i="2"/>
  <c r="V69" i="2" s="1"/>
  <c r="U69" i="2" s="1"/>
  <c r="W68" i="2"/>
  <c r="W53" i="2"/>
  <c r="V53" i="2" s="1"/>
  <c r="U53" i="2" s="1"/>
  <c r="W52" i="2"/>
  <c r="W58" i="3"/>
  <c r="V58" i="3" s="1"/>
  <c r="U58" i="3" s="1"/>
  <c r="T58" i="3" s="1"/>
  <c r="S58" i="3" s="1"/>
  <c r="W57" i="3"/>
  <c r="W65" i="2"/>
  <c r="V65" i="2" s="1"/>
  <c r="U65" i="2" s="1"/>
  <c r="W64" i="2"/>
  <c r="W57" i="2"/>
  <c r="V57" i="2" s="1"/>
  <c r="U57" i="2" s="1"/>
  <c r="T57" i="2" s="1"/>
  <c r="W56" i="2"/>
  <c r="W73" i="2"/>
  <c r="W72" i="2"/>
  <c r="U59" i="2"/>
  <c r="T59" i="2" s="1"/>
  <c r="S59" i="2" s="1"/>
  <c r="T58" i="2"/>
  <c r="S58" i="2" s="1"/>
  <c r="R58" i="2" s="1"/>
  <c r="V57" i="3" l="1"/>
  <c r="U57" i="3" s="1"/>
  <c r="T57" i="3" s="1"/>
  <c r="S57" i="3" s="1"/>
  <c r="R57" i="3" s="1"/>
  <c r="V56" i="3"/>
  <c r="V63" i="3"/>
  <c r="U63" i="3" s="1"/>
  <c r="T63" i="3" s="1"/>
  <c r="S63" i="3" s="1"/>
  <c r="R63" i="3" s="1"/>
  <c r="Q63" i="3" s="1"/>
  <c r="P63" i="3" s="1"/>
  <c r="O63" i="3" s="1"/>
  <c r="N63" i="3" s="1"/>
  <c r="M63" i="3" s="1"/>
  <c r="V62" i="3"/>
  <c r="V68" i="2"/>
  <c r="U68" i="2" s="1"/>
  <c r="T68" i="2" s="1"/>
  <c r="V67" i="2"/>
  <c r="S57" i="2"/>
  <c r="R57" i="2" s="1"/>
  <c r="Q57" i="2" s="1"/>
  <c r="V52" i="2"/>
  <c r="U52" i="2" s="1"/>
  <c r="T52" i="2" s="1"/>
  <c r="V72" i="2"/>
  <c r="V71" i="2"/>
  <c r="V56" i="2"/>
  <c r="U56" i="2" s="1"/>
  <c r="T56" i="2" s="1"/>
  <c r="S56" i="2" s="1"/>
  <c r="V55" i="2"/>
  <c r="V64" i="2"/>
  <c r="U64" i="2" s="1"/>
  <c r="T64" i="2" s="1"/>
  <c r="V63" i="2"/>
  <c r="U67" i="2" l="1"/>
  <c r="T67" i="2" s="1"/>
  <c r="S67" i="2" s="1"/>
  <c r="U66" i="2"/>
  <c r="U62" i="3"/>
  <c r="T62" i="3" s="1"/>
  <c r="S62" i="3" s="1"/>
  <c r="R62" i="3" s="1"/>
  <c r="Q62" i="3" s="1"/>
  <c r="P62" i="3" s="1"/>
  <c r="O62" i="3" s="1"/>
  <c r="N62" i="3" s="1"/>
  <c r="M62" i="3" s="1"/>
  <c r="L62" i="3" s="1"/>
  <c r="U61" i="3"/>
  <c r="R56" i="2"/>
  <c r="Q56" i="2" s="1"/>
  <c r="P56" i="2" s="1"/>
  <c r="U56" i="3"/>
  <c r="T56" i="3" s="1"/>
  <c r="S56" i="3" s="1"/>
  <c r="R56" i="3" s="1"/>
  <c r="Q56" i="3" s="1"/>
  <c r="U55" i="3"/>
  <c r="U63" i="2"/>
  <c r="T63" i="2" s="1"/>
  <c r="S63" i="2" s="1"/>
  <c r="U62" i="2"/>
  <c r="U55" i="2"/>
  <c r="T55" i="2" s="1"/>
  <c r="S55" i="2" s="1"/>
  <c r="R55" i="2" s="1"/>
  <c r="Q55" i="2" s="1"/>
  <c r="P55" i="2" s="1"/>
  <c r="O55" i="2" s="1"/>
  <c r="U54" i="2"/>
  <c r="U71" i="2"/>
  <c r="U70" i="2"/>
  <c r="T61" i="3" l="1"/>
  <c r="S61" i="3" s="1"/>
  <c r="R61" i="3" s="1"/>
  <c r="Q61" i="3" s="1"/>
  <c r="P61" i="3" s="1"/>
  <c r="O61" i="3" s="1"/>
  <c r="N61" i="3" s="1"/>
  <c r="M61" i="3" s="1"/>
  <c r="L61" i="3" s="1"/>
  <c r="K61" i="3" s="1"/>
  <c r="T60" i="3"/>
  <c r="T55" i="3"/>
  <c r="S55" i="3" s="1"/>
  <c r="R55" i="3" s="1"/>
  <c r="Q55" i="3" s="1"/>
  <c r="P55" i="3" s="1"/>
  <c r="T54" i="3"/>
  <c r="T66" i="2"/>
  <c r="S66" i="2" s="1"/>
  <c r="R66" i="2" s="1"/>
  <c r="T65" i="2"/>
  <c r="T70" i="2"/>
  <c r="T69" i="2"/>
  <c r="T54" i="2"/>
  <c r="S54" i="2" s="1"/>
  <c r="R54" i="2" s="1"/>
  <c r="Q54" i="2" s="1"/>
  <c r="P54" i="2" s="1"/>
  <c r="O54" i="2" s="1"/>
  <c r="N54" i="2" s="1"/>
  <c r="T53" i="2"/>
  <c r="T62" i="2"/>
  <c r="S62" i="2" s="1"/>
  <c r="R62" i="2" s="1"/>
  <c r="T61" i="2"/>
  <c r="S54" i="3" l="1"/>
  <c r="R54" i="3" s="1"/>
  <c r="Q54" i="3" s="1"/>
  <c r="P54" i="3" s="1"/>
  <c r="O54" i="3" s="1"/>
  <c r="S53" i="3"/>
  <c r="S65" i="2"/>
  <c r="R65" i="2" s="1"/>
  <c r="Q65" i="2" s="1"/>
  <c r="S64" i="2"/>
  <c r="S60" i="3"/>
  <c r="R60" i="3" s="1"/>
  <c r="Q60" i="3" s="1"/>
  <c r="P60" i="3" s="1"/>
  <c r="O60" i="3" s="1"/>
  <c r="N60" i="3" s="1"/>
  <c r="M60" i="3" s="1"/>
  <c r="L60" i="3" s="1"/>
  <c r="K60" i="3" s="1"/>
  <c r="J60" i="3" s="1"/>
  <c r="S59" i="3"/>
  <c r="S61" i="2"/>
  <c r="R61" i="2" s="1"/>
  <c r="Q61" i="2" s="1"/>
  <c r="S60" i="2"/>
  <c r="S53" i="2"/>
  <c r="R53" i="2" s="1"/>
  <c r="Q53" i="2" s="1"/>
  <c r="P53" i="2" s="1"/>
  <c r="O53" i="2" s="1"/>
  <c r="N53" i="2" s="1"/>
  <c r="M53" i="2" s="1"/>
  <c r="S52" i="2"/>
  <c r="S69" i="2"/>
  <c r="S68" i="2"/>
  <c r="R59" i="3" l="1"/>
  <c r="Q59" i="3" s="1"/>
  <c r="P59" i="3" s="1"/>
  <c r="O59" i="3" s="1"/>
  <c r="N59" i="3" s="1"/>
  <c r="M59" i="3" s="1"/>
  <c r="L59" i="3" s="1"/>
  <c r="K59" i="3" s="1"/>
  <c r="J59" i="3" s="1"/>
  <c r="I59" i="3" s="1"/>
  <c r="R58" i="3"/>
  <c r="R53" i="3"/>
  <c r="Q53" i="3" s="1"/>
  <c r="P53" i="3" s="1"/>
  <c r="O53" i="3" s="1"/>
  <c r="N53" i="3" s="1"/>
  <c r="R52" i="3"/>
  <c r="Q52" i="3" s="1"/>
  <c r="P52" i="3" s="1"/>
  <c r="O52" i="3" s="1"/>
  <c r="N52" i="3" s="1"/>
  <c r="M52" i="3" s="1"/>
  <c r="R64" i="2"/>
  <c r="Q64" i="2" s="1"/>
  <c r="P64" i="2" s="1"/>
  <c r="R63" i="2"/>
  <c r="R68" i="2"/>
  <c r="R67" i="2"/>
  <c r="R60" i="2"/>
  <c r="Q60" i="2" s="1"/>
  <c r="P60" i="2" s="1"/>
  <c r="R59" i="2"/>
  <c r="R52" i="2"/>
  <c r="Q52" i="2" s="1"/>
  <c r="P52" i="2" s="1"/>
  <c r="O52" i="2" s="1"/>
  <c r="N52" i="2" s="1"/>
  <c r="M52" i="2" s="1"/>
  <c r="L52" i="2" s="1"/>
  <c r="Q63" i="2" l="1"/>
  <c r="P63" i="2" s="1"/>
  <c r="O63" i="2" s="1"/>
  <c r="Q62" i="2"/>
  <c r="Q58" i="3"/>
  <c r="P58" i="3" s="1"/>
  <c r="O58" i="3" s="1"/>
  <c r="N58" i="3" s="1"/>
  <c r="M58" i="3" s="1"/>
  <c r="L58" i="3" s="1"/>
  <c r="K58" i="3" s="1"/>
  <c r="J58" i="3" s="1"/>
  <c r="I58" i="3" s="1"/>
  <c r="H58" i="3" s="1"/>
  <c r="Q57" i="3"/>
  <c r="Q59" i="2"/>
  <c r="P59" i="2" s="1"/>
  <c r="O59" i="2" s="1"/>
  <c r="Q58" i="2"/>
  <c r="Q67" i="2"/>
  <c r="Q66" i="2"/>
  <c r="P62" i="2" l="1"/>
  <c r="O62" i="2" s="1"/>
  <c r="N62" i="2" s="1"/>
  <c r="P61" i="2"/>
  <c r="P57" i="3"/>
  <c r="O57" i="3" s="1"/>
  <c r="N57" i="3" s="1"/>
  <c r="M57" i="3" s="1"/>
  <c r="L57" i="3" s="1"/>
  <c r="K57" i="3" s="1"/>
  <c r="J57" i="3" s="1"/>
  <c r="I57" i="3" s="1"/>
  <c r="H57" i="3" s="1"/>
  <c r="G57" i="3" s="1"/>
  <c r="P56" i="3"/>
  <c r="P66" i="2"/>
  <c r="P65" i="2"/>
  <c r="P58" i="2"/>
  <c r="O58" i="2" s="1"/>
  <c r="N58" i="2" s="1"/>
  <c r="P57" i="2"/>
  <c r="O56" i="3" l="1"/>
  <c r="N56" i="3" s="1"/>
  <c r="M56" i="3" s="1"/>
  <c r="L56" i="3" s="1"/>
  <c r="K56" i="3" s="1"/>
  <c r="J56" i="3" s="1"/>
  <c r="I56" i="3" s="1"/>
  <c r="H56" i="3" s="1"/>
  <c r="G56" i="3" s="1"/>
  <c r="F56" i="3" s="1"/>
  <c r="O55" i="3"/>
  <c r="O61" i="2"/>
  <c r="N61" i="2" s="1"/>
  <c r="M61" i="2" s="1"/>
  <c r="O60" i="2"/>
  <c r="O57" i="2"/>
  <c r="N57" i="2" s="1"/>
  <c r="M57" i="2" s="1"/>
  <c r="O56" i="2"/>
  <c r="O65" i="2"/>
  <c r="O64" i="2"/>
  <c r="N60" i="2" l="1"/>
  <c r="M60" i="2" s="1"/>
  <c r="L60" i="2" s="1"/>
  <c r="N59" i="2"/>
  <c r="N55" i="3"/>
  <c r="M55" i="3" s="1"/>
  <c r="L55" i="3" s="1"/>
  <c r="K55" i="3" s="1"/>
  <c r="J55" i="3" s="1"/>
  <c r="I55" i="3" s="1"/>
  <c r="H55" i="3" s="1"/>
  <c r="G55" i="3" s="1"/>
  <c r="F55" i="3" s="1"/>
  <c r="E55" i="3" s="1"/>
  <c r="N54" i="3"/>
  <c r="N64" i="2"/>
  <c r="N63" i="2"/>
  <c r="N56" i="2"/>
  <c r="M56" i="2" s="1"/>
  <c r="L56" i="2" s="1"/>
  <c r="N55" i="2"/>
  <c r="M54" i="3" l="1"/>
  <c r="L54" i="3" s="1"/>
  <c r="K54" i="3" s="1"/>
  <c r="J54" i="3" s="1"/>
  <c r="I54" i="3" s="1"/>
  <c r="H54" i="3" s="1"/>
  <c r="G54" i="3" s="1"/>
  <c r="F54" i="3" s="1"/>
  <c r="E54" i="3" s="1"/>
  <c r="D54" i="3" s="1"/>
  <c r="M53" i="3"/>
  <c r="M59" i="2"/>
  <c r="L59" i="2" s="1"/>
  <c r="K59" i="2" s="1"/>
  <c r="M58" i="2"/>
  <c r="M55" i="2"/>
  <c r="L55" i="2" s="1"/>
  <c r="K55" i="2" s="1"/>
  <c r="M54" i="2"/>
  <c r="M63" i="2"/>
  <c r="M62" i="2"/>
  <c r="L58" i="2" l="1"/>
  <c r="K58" i="2" s="1"/>
  <c r="J58" i="2" s="1"/>
  <c r="L57" i="2"/>
  <c r="L53" i="3"/>
  <c r="K53" i="3" s="1"/>
  <c r="J53" i="3" s="1"/>
  <c r="I53" i="3" s="1"/>
  <c r="H53" i="3" s="1"/>
  <c r="G53" i="3" s="1"/>
  <c r="F53" i="3" s="1"/>
  <c r="E53" i="3" s="1"/>
  <c r="D53" i="3" s="1"/>
  <c r="C53" i="3" s="1"/>
  <c r="L52" i="3"/>
  <c r="K52" i="3" s="1"/>
  <c r="J52" i="3" s="1"/>
  <c r="I52" i="3" s="1"/>
  <c r="H52" i="3" s="1"/>
  <c r="G52" i="3" s="1"/>
  <c r="F52" i="3" s="1"/>
  <c r="E52" i="3" s="1"/>
  <c r="D52" i="3" s="1"/>
  <c r="C52" i="3" s="1"/>
  <c r="B52" i="3" s="1"/>
  <c r="F9" i="3" s="1"/>
  <c r="L62" i="2"/>
  <c r="L61" i="2"/>
  <c r="L54" i="2"/>
  <c r="K54" i="2" s="1"/>
  <c r="J54" i="2" s="1"/>
  <c r="L53" i="2"/>
  <c r="K57" i="2" l="1"/>
  <c r="J57" i="2" s="1"/>
  <c r="I57" i="2" s="1"/>
  <c r="K56" i="2"/>
  <c r="K53" i="2"/>
  <c r="J53" i="2" s="1"/>
  <c r="I53" i="2" s="1"/>
  <c r="K52" i="2"/>
  <c r="K61" i="2"/>
  <c r="K60" i="2"/>
  <c r="J56" i="2" l="1"/>
  <c r="I56" i="2" s="1"/>
  <c r="H56" i="2" s="1"/>
  <c r="J55" i="2"/>
  <c r="J60" i="2"/>
  <c r="J59" i="2"/>
  <c r="J52" i="2"/>
  <c r="I52" i="2" s="1"/>
  <c r="H52" i="2" s="1"/>
  <c r="I55" i="2" l="1"/>
  <c r="H55" i="2" s="1"/>
  <c r="G55" i="2" s="1"/>
  <c r="I54" i="2"/>
  <c r="I59" i="2"/>
  <c r="I58" i="2"/>
  <c r="H54" i="2" l="1"/>
  <c r="G54" i="2" s="1"/>
  <c r="F54" i="2" s="1"/>
  <c r="H53" i="2"/>
  <c r="H58" i="2"/>
  <c r="H57" i="2"/>
  <c r="G53" i="2" l="1"/>
  <c r="F53" i="2" s="1"/>
  <c r="E53" i="2" s="1"/>
  <c r="G52" i="2"/>
  <c r="F52" i="2" s="1"/>
  <c r="E52" i="2" s="1"/>
  <c r="D52" i="2" s="1"/>
  <c r="G57" i="2"/>
  <c r="G56" i="2"/>
  <c r="F56" i="2" l="1"/>
  <c r="F55" i="2"/>
  <c r="E55" i="2" l="1"/>
  <c r="E54" i="2"/>
  <c r="D54" i="2" l="1"/>
  <c r="D53" i="2"/>
  <c r="C53" i="2" l="1"/>
  <c r="C52" i="2"/>
  <c r="B52" i="2" l="1"/>
  <c r="F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1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 xml:space="preserve">Pavitra : </t>
        </r>
        <r>
          <rPr>
            <sz val="10"/>
            <color indexed="81"/>
            <rFont val="Calibri"/>
            <family val="2"/>
          </rPr>
          <t xml:space="preserve">
Please use the drop down to change stock prices from Simulated to Original &amp; Vice versa
</t>
        </r>
      </text>
    </comment>
  </commentList>
</comments>
</file>

<file path=xl/sharedStrings.xml><?xml version="1.0" encoding="utf-8"?>
<sst xmlns="http://schemas.openxmlformats.org/spreadsheetml/2006/main" count="150" uniqueCount="111">
  <si>
    <t xml:space="preserve">u = </t>
  </si>
  <si>
    <t xml:space="preserve">d = </t>
  </si>
  <si>
    <t xml:space="preserve">a = </t>
  </si>
  <si>
    <t xml:space="preserve">p = </t>
  </si>
  <si>
    <t xml:space="preserve">1-p = </t>
  </si>
  <si>
    <t>X =</t>
  </si>
  <si>
    <t>S =</t>
  </si>
  <si>
    <t>t =</t>
  </si>
  <si>
    <t xml:space="preserve">Put option value = </t>
  </si>
  <si>
    <t xml:space="preserve">Call option value = </t>
  </si>
  <si>
    <t>Periods Remaining to Maturity</t>
  </si>
  <si>
    <t>Section 1 - Stock Price Tree</t>
  </si>
  <si>
    <t>Section 2 - American Call Option Tree</t>
  </si>
  <si>
    <t>Section 2 - American Put Option Tree</t>
  </si>
  <si>
    <t>i =</t>
  </si>
  <si>
    <t>= i</t>
  </si>
  <si>
    <t>annual</t>
  </si>
  <si>
    <t>fraction of year</t>
  </si>
  <si>
    <t>j</t>
  </si>
  <si>
    <t>Black-Scholes Option Pricing Model with Dividend Yield</t>
  </si>
  <si>
    <t>Inputs</t>
  </si>
  <si>
    <t>% per annum</t>
  </si>
  <si>
    <t>Output</t>
  </si>
  <si>
    <t>Miscellaneous</t>
  </si>
  <si>
    <t>fraction of a year</t>
  </si>
  <si>
    <t>Dividend yield (q) =</t>
  </si>
  <si>
    <t>Time to Expiration (fraction of a year)</t>
  </si>
  <si>
    <t>Volatility (percent per annum)</t>
  </si>
  <si>
    <t>Delta Hedging Example</t>
  </si>
  <si>
    <t>Input Values</t>
  </si>
  <si>
    <t xml:space="preserve">Initial stock price = </t>
  </si>
  <si>
    <t xml:space="preserve">Exercise price = </t>
  </si>
  <si>
    <t xml:space="preserve">Initial days to expiration = </t>
  </si>
  <si>
    <t xml:space="preserve">Risk-free rate of interest = </t>
  </si>
  <si>
    <t>$ of</t>
  </si>
  <si>
    <t>Call</t>
  </si>
  <si>
    <t>Portfolio</t>
  </si>
  <si>
    <t>Target Portfolio</t>
  </si>
  <si>
    <t>New Call</t>
  </si>
  <si>
    <t>Adjusted Number</t>
  </si>
  <si>
    <t>Number of Shares</t>
  </si>
  <si>
    <t>$ of bonds</t>
  </si>
  <si>
    <t>Time to</t>
  </si>
  <si>
    <t>Price</t>
  </si>
  <si>
    <t>Day</t>
  </si>
  <si>
    <t>Shares</t>
  </si>
  <si>
    <t>Calls</t>
  </si>
  <si>
    <t>bonds</t>
  </si>
  <si>
    <t>Value</t>
  </si>
  <si>
    <t>Trades</t>
  </si>
  <si>
    <t>of Shares</t>
  </si>
  <si>
    <t>Bought or Sold</t>
  </si>
  <si>
    <t>Purchased or Sold</t>
  </si>
  <si>
    <t>Expiration</t>
  </si>
  <si>
    <t>d1</t>
  </si>
  <si>
    <t>N(d1)</t>
  </si>
  <si>
    <t>d2</t>
  </si>
  <si>
    <t>N(d2)</t>
  </si>
  <si>
    <t>Delta</t>
  </si>
  <si>
    <t>na</t>
  </si>
  <si>
    <t>Binomial Valuation Model - American Call Option</t>
  </si>
  <si>
    <t>Binomial Valuation Model - American Put Option</t>
  </si>
  <si>
    <t xml:space="preserve">Call gamma = </t>
  </si>
  <si>
    <t xml:space="preserve">Put gamma = </t>
  </si>
  <si>
    <t xml:space="preserve">Call vega = </t>
  </si>
  <si>
    <t xml:space="preserve">Put vega = </t>
  </si>
  <si>
    <t xml:space="preserve">Call theta = </t>
  </si>
  <si>
    <t xml:space="preserve">Put theta = </t>
  </si>
  <si>
    <t xml:space="preserve">Call rho = </t>
  </si>
  <si>
    <t xml:space="preserve">Put rho = </t>
  </si>
  <si>
    <t>Exercise price (K) =</t>
  </si>
  <si>
    <t>Time to expiration (T) =</t>
  </si>
  <si>
    <t>Risk-free rate (r) =</t>
  </si>
  <si>
    <t xml:space="preserve">Call price = </t>
  </si>
  <si>
    <t xml:space="preserve">Put price = </t>
  </si>
  <si>
    <t xml:space="preserve">Call delta = </t>
  </si>
  <si>
    <t xml:space="preserve">Put delta = </t>
  </si>
  <si>
    <t xml:space="preserve">Final target portfolio value = </t>
  </si>
  <si>
    <t>Z Value</t>
  </si>
  <si>
    <t>Simulated Data</t>
  </si>
  <si>
    <t xml:space="preserve">Final actual portfolio value = </t>
  </si>
  <si>
    <t xml:space="preserve">Mean = </t>
  </si>
  <si>
    <t xml:space="preserve">Variation = </t>
  </si>
  <si>
    <t xml:space="preserve">Stdev = </t>
  </si>
  <si>
    <t xml:space="preserve">Variation as % of target = </t>
  </si>
  <si>
    <t xml:space="preserve">Annual drift = </t>
  </si>
  <si>
    <t xml:space="preserve">Annual volatility = </t>
  </si>
  <si>
    <t>Option</t>
  </si>
  <si>
    <t>Simulated</t>
  </si>
  <si>
    <t>Z-Value</t>
  </si>
  <si>
    <t>Stock Prices</t>
  </si>
  <si>
    <t>Returns</t>
  </si>
  <si>
    <t>Original Data</t>
  </si>
  <si>
    <t>Do Not</t>
  </si>
  <si>
    <t>Delete</t>
  </si>
  <si>
    <t>Call Value Sensitivity Analysis</t>
  </si>
  <si>
    <t>Time To Expiration</t>
  </si>
  <si>
    <t>Net Delta</t>
  </si>
  <si>
    <t>Stock Price</t>
  </si>
  <si>
    <t>Time between Prices  =</t>
  </si>
  <si>
    <t>Volatility (s) =</t>
  </si>
  <si>
    <r>
      <t>Stock price (S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) =</t>
    </r>
  </si>
  <si>
    <r>
      <t>d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=</t>
    </r>
  </si>
  <si>
    <r>
      <t>d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=</t>
    </r>
  </si>
  <si>
    <r>
      <t>N(d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) = </t>
    </r>
  </si>
  <si>
    <r>
      <t>N(d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) = </t>
    </r>
  </si>
  <si>
    <r>
      <t>N(-d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) = </t>
    </r>
  </si>
  <si>
    <r>
      <t>N(-d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) = </t>
    </r>
  </si>
  <si>
    <r>
      <t>N'(d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) = </t>
    </r>
  </si>
  <si>
    <t xml:space="preserve">s = </t>
  </si>
  <si>
    <r>
      <t>r</t>
    </r>
    <r>
      <rPr>
        <vertAlign val="subscript"/>
        <sz val="12"/>
        <rFont val="Times New Roman"/>
        <family val="1"/>
      </rPr>
      <t>f</t>
    </r>
    <r>
      <rPr>
        <sz val="12"/>
        <rFont val="Times New Roman"/>
        <family val="1"/>
      </rPr>
      <t xml:space="preserve"> =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</si>
</sst>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(* #,##0.0000_);_(* \(#,##0.0000\);_(* &quot;-&quot;??_);_(@_)"/>
    <numFmt numFmtId="166" formatCode="0.0%"/>
    <numFmt numFmtId="167" formatCode="_(&quot;$&quot;* #,##0.0000_);_(&quot;$&quot;* \(#,##0.0000\);_(&quot;$&quot;* &quot;-&quot;??_);_(@_)"/>
    <numFmt numFmtId="168" formatCode="0.0000"/>
    <numFmt numFmtId="169" formatCode="_(* #,##0_);_(* \(#,##0\);_(* &quot;-&quot;??_);_(@_)"/>
    <numFmt numFmtId="170" formatCode="0.00000"/>
    <numFmt numFmtId="171" formatCode="0.0000000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b/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indexed="12"/>
      <name val="Times New Roman"/>
      <family val="1"/>
    </font>
    <font>
      <b/>
      <sz val="12"/>
      <color rgb="FFFF0000"/>
      <name val="Times New Roman"/>
      <family val="1"/>
    </font>
    <font>
      <b/>
      <sz val="12"/>
      <name val="Times New Roman"/>
      <family val="1"/>
    </font>
    <font>
      <b/>
      <sz val="12"/>
      <color rgb="FF0000FF"/>
      <name val="Times New Roman"/>
      <family val="1"/>
    </font>
    <font>
      <sz val="12"/>
      <color theme="1"/>
      <name val="Times New Roman"/>
      <family val="1"/>
    </font>
    <font>
      <sz val="12"/>
      <color indexed="10"/>
      <name val="Times New Roman"/>
      <family val="1"/>
    </font>
    <font>
      <b/>
      <sz val="12"/>
      <color indexed="10"/>
      <name val="Times New Roman"/>
      <family val="1"/>
    </font>
    <font>
      <vertAlign val="subscript"/>
      <sz val="12"/>
      <name val="Times New Roman"/>
      <family val="1"/>
    </font>
    <font>
      <sz val="12"/>
      <color indexed="1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54">
    <xf numFmtId="0" fontId="0" fillId="0" borderId="0" xfId="0"/>
    <xf numFmtId="0" fontId="9" fillId="0" borderId="0" xfId="0" applyFont="1"/>
    <xf numFmtId="0" fontId="9" fillId="0" borderId="0" xfId="0" applyFont="1" applyFill="1"/>
    <xf numFmtId="0" fontId="9" fillId="0" borderId="0" xfId="0" applyFont="1" applyFill="1" applyBorder="1"/>
    <xf numFmtId="0" fontId="9" fillId="0" borderId="16" xfId="0" applyFont="1" applyFill="1" applyBorder="1"/>
    <xf numFmtId="0" fontId="9" fillId="0" borderId="17" xfId="0" applyFont="1" applyFill="1" applyBorder="1" applyAlignment="1">
      <alignment horizontal="right"/>
    </xf>
    <xf numFmtId="0" fontId="10" fillId="0" borderId="27" xfId="2" applyNumberFormat="1" applyFont="1" applyFill="1" applyBorder="1"/>
    <xf numFmtId="0" fontId="9" fillId="0" borderId="16" xfId="0" applyFont="1" applyBorder="1"/>
    <xf numFmtId="0" fontId="9" fillId="0" borderId="17" xfId="0" applyFont="1" applyBorder="1" applyAlignment="1">
      <alignment horizontal="right"/>
    </xf>
    <xf numFmtId="44" fontId="9" fillId="0" borderId="27" xfId="0" applyNumberFormat="1" applyFont="1" applyFill="1" applyBorder="1"/>
    <xf numFmtId="0" fontId="9" fillId="0" borderId="5" xfId="0" applyFont="1" applyBorder="1" applyAlignment="1">
      <alignment horizontal="center"/>
    </xf>
    <xf numFmtId="0" fontId="9" fillId="0" borderId="14" xfId="0" applyFont="1" applyFill="1" applyBorder="1"/>
    <xf numFmtId="0" fontId="9" fillId="0" borderId="0" xfId="0" applyFont="1" applyFill="1" applyBorder="1" applyAlignment="1">
      <alignment horizontal="right"/>
    </xf>
    <xf numFmtId="0" fontId="10" fillId="0" borderId="8" xfId="2" applyNumberFormat="1" applyFont="1" applyFill="1" applyBorder="1"/>
    <xf numFmtId="0" fontId="9" fillId="0" borderId="14" xfId="0" applyFont="1" applyBorder="1"/>
    <xf numFmtId="0" fontId="9" fillId="0" borderId="0" xfId="0" applyFont="1" applyBorder="1" applyAlignment="1">
      <alignment horizontal="right"/>
    </xf>
    <xf numFmtId="44" fontId="9" fillId="0" borderId="8" xfId="0" applyNumberFormat="1" applyFont="1" applyFill="1" applyBorder="1"/>
    <xf numFmtId="0" fontId="9" fillId="0" borderId="0" xfId="0" applyFont="1" applyAlignment="1">
      <alignment horizontal="right"/>
    </xf>
    <xf numFmtId="168" fontId="9" fillId="0" borderId="27" xfId="0" applyNumberFormat="1" applyFont="1" applyFill="1" applyBorder="1"/>
    <xf numFmtId="168" fontId="9" fillId="0" borderId="18" xfId="3" applyNumberFormat="1" applyFont="1" applyFill="1" applyBorder="1"/>
    <xf numFmtId="0" fontId="9" fillId="0" borderId="0" xfId="0" applyFont="1" applyBorder="1"/>
    <xf numFmtId="168" fontId="9" fillId="0" borderId="9" xfId="0" applyNumberFormat="1" applyFont="1" applyFill="1" applyBorder="1"/>
    <xf numFmtId="168" fontId="9" fillId="0" borderId="7" xfId="3" applyNumberFormat="1" applyFont="1" applyFill="1" applyBorder="1"/>
    <xf numFmtId="0" fontId="9" fillId="0" borderId="6" xfId="0" applyFont="1" applyBorder="1"/>
    <xf numFmtId="0" fontId="9" fillId="0" borderId="1" xfId="0" applyFont="1" applyBorder="1" applyAlignment="1">
      <alignment horizontal="right"/>
    </xf>
    <xf numFmtId="10" fontId="9" fillId="0" borderId="9" xfId="3" applyNumberFormat="1" applyFont="1" applyFill="1" applyBorder="1"/>
    <xf numFmtId="0" fontId="11" fillId="0" borderId="0" xfId="0" applyFont="1" applyAlignment="1">
      <alignment horizontal="center"/>
    </xf>
    <xf numFmtId="0" fontId="8" fillId="0" borderId="27" xfId="0" applyFont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7" borderId="27" xfId="0" applyFont="1" applyFill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9" xfId="0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12" fillId="0" borderId="31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9" borderId="5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0" fontId="12" fillId="0" borderId="6" xfId="0" applyFont="1" applyFill="1" applyBorder="1" applyAlignment="1">
      <alignment horizontal="center"/>
    </xf>
    <xf numFmtId="0" fontId="12" fillId="0" borderId="33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13" fillId="5" borderId="8" xfId="0" applyNumberFormat="1" applyFont="1" applyFill="1" applyBorder="1"/>
    <xf numFmtId="44" fontId="9" fillId="5" borderId="14" xfId="2" applyFont="1" applyFill="1" applyBorder="1"/>
    <xf numFmtId="44" fontId="14" fillId="0" borderId="8" xfId="2" applyFont="1" applyFill="1" applyBorder="1"/>
    <xf numFmtId="0" fontId="13" fillId="5" borderId="27" xfId="0" applyNumberFormat="1" applyFont="1" applyFill="1" applyBorder="1"/>
    <xf numFmtId="44" fontId="9" fillId="0" borderId="8" xfId="2" applyFont="1" applyFill="1" applyBorder="1"/>
    <xf numFmtId="169" fontId="13" fillId="5" borderId="0" xfId="1" applyNumberFormat="1" applyFont="1" applyFill="1" applyBorder="1"/>
    <xf numFmtId="0" fontId="9" fillId="0" borderId="8" xfId="0" applyNumberFormat="1" applyFont="1" applyFill="1" applyBorder="1"/>
    <xf numFmtId="168" fontId="9" fillId="0" borderId="14" xfId="0" applyNumberFormat="1" applyFont="1" applyFill="1" applyBorder="1"/>
    <xf numFmtId="165" fontId="9" fillId="0" borderId="8" xfId="1" applyNumberFormat="1" applyFont="1" applyFill="1" applyBorder="1"/>
    <xf numFmtId="165" fontId="9" fillId="0" borderId="34" xfId="1" applyNumberFormat="1" applyFont="1" applyFill="1" applyBorder="1"/>
    <xf numFmtId="43" fontId="9" fillId="0" borderId="0" xfId="0" applyNumberFormat="1" applyFont="1"/>
    <xf numFmtId="167" fontId="13" fillId="0" borderId="0" xfId="2" applyNumberFormat="1" applyFont="1" applyFill="1" applyBorder="1"/>
    <xf numFmtId="44" fontId="13" fillId="0" borderId="27" xfId="2" applyFont="1" applyFill="1" applyBorder="1"/>
    <xf numFmtId="0" fontId="13" fillId="8" borderId="27" xfId="0" applyNumberFormat="1" applyFont="1" applyFill="1" applyBorder="1" applyAlignment="1">
      <alignment horizontal="center"/>
    </xf>
    <xf numFmtId="44" fontId="9" fillId="0" borderId="5" xfId="2" applyFont="1" applyFill="1" applyBorder="1"/>
    <xf numFmtId="0" fontId="13" fillId="8" borderId="5" xfId="0" applyNumberFormat="1" applyFont="1" applyFill="1" applyBorder="1" applyAlignment="1">
      <alignment horizontal="center"/>
    </xf>
    <xf numFmtId="169" fontId="9" fillId="0" borderId="8" xfId="1" applyNumberFormat="1" applyFont="1" applyFill="1" applyBorder="1"/>
    <xf numFmtId="0" fontId="13" fillId="0" borderId="0" xfId="0" applyNumberFormat="1" applyFont="1" applyBorder="1"/>
    <xf numFmtId="44" fontId="13" fillId="0" borderId="8" xfId="2" applyFont="1" applyFill="1" applyBorder="1"/>
    <xf numFmtId="44" fontId="9" fillId="0" borderId="4" xfId="2" applyFont="1" applyFill="1" applyBorder="1"/>
    <xf numFmtId="10" fontId="9" fillId="0" borderId="5" xfId="3" applyNumberFormat="1" applyFont="1" applyFill="1" applyBorder="1"/>
    <xf numFmtId="0" fontId="9" fillId="0" borderId="26" xfId="0" applyFont="1" applyBorder="1" applyAlignment="1">
      <alignment horizontal="center"/>
    </xf>
    <xf numFmtId="0" fontId="9" fillId="0" borderId="21" xfId="0" applyNumberFormat="1" applyFont="1" applyFill="1" applyBorder="1"/>
    <xf numFmtId="169" fontId="9" fillId="0" borderId="21" xfId="1" applyNumberFormat="1" applyFont="1" applyFill="1" applyBorder="1"/>
    <xf numFmtId="44" fontId="9" fillId="0" borderId="21" xfId="2" applyFont="1" applyFill="1" applyBorder="1"/>
    <xf numFmtId="44" fontId="9" fillId="5" borderId="35" xfId="2" applyFont="1" applyFill="1" applyBorder="1"/>
    <xf numFmtId="44" fontId="14" fillId="0" borderId="21" xfId="2" applyFont="1" applyFill="1" applyBorder="1"/>
    <xf numFmtId="0" fontId="13" fillId="0" borderId="22" xfId="0" applyNumberFormat="1" applyFont="1" applyBorder="1"/>
    <xf numFmtId="168" fontId="9" fillId="0" borderId="35" xfId="0" applyNumberFormat="1" applyFont="1" applyFill="1" applyBorder="1"/>
    <xf numFmtId="0" fontId="10" fillId="3" borderId="35" xfId="2" applyNumberFormat="1" applyFont="1" applyFill="1" applyBorder="1" applyAlignment="1">
      <alignment horizontal="center"/>
    </xf>
    <xf numFmtId="0" fontId="10" fillId="3" borderId="21" xfId="2" applyNumberFormat="1" applyFont="1" applyFill="1" applyBorder="1" applyAlignment="1">
      <alignment horizontal="center"/>
    </xf>
    <xf numFmtId="0" fontId="10" fillId="3" borderId="36" xfId="2" applyNumberFormat="1" applyFont="1" applyFill="1" applyBorder="1" applyAlignment="1">
      <alignment horizontal="center"/>
    </xf>
    <xf numFmtId="44" fontId="13" fillId="0" borderId="9" xfId="2" applyFont="1" applyFill="1" applyBorder="1"/>
    <xf numFmtId="168" fontId="9" fillId="0" borderId="4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27" xfId="0" applyFont="1" applyBorder="1"/>
    <xf numFmtId="0" fontId="9" fillId="0" borderId="0" xfId="0" applyFont="1" applyFill="1" applyBorder="1" applyAlignment="1"/>
    <xf numFmtId="0" fontId="15" fillId="0" borderId="0" xfId="0" applyFont="1" applyAlignment="1">
      <alignment horizontal="left"/>
    </xf>
    <xf numFmtId="0" fontId="9" fillId="0" borderId="13" xfId="0" applyFont="1" applyBorder="1"/>
    <xf numFmtId="0" fontId="9" fillId="0" borderId="19" xfId="0" applyFont="1" applyBorder="1"/>
    <xf numFmtId="0" fontId="12" fillId="0" borderId="14" xfId="0" applyFont="1" applyBorder="1" applyAlignment="1">
      <alignment horizontal="centerContinuous"/>
    </xf>
    <xf numFmtId="0" fontId="9" fillId="0" borderId="0" xfId="0" applyFont="1" applyBorder="1" applyAlignment="1">
      <alignment horizontal="centerContinuous"/>
    </xf>
    <xf numFmtId="0" fontId="9" fillId="0" borderId="20" xfId="0" applyFont="1" applyBorder="1" applyAlignment="1">
      <alignment horizontal="centerContinuous"/>
    </xf>
    <xf numFmtId="0" fontId="9" fillId="0" borderId="0" xfId="0" applyFont="1" applyFill="1" applyBorder="1" applyAlignment="1">
      <alignment horizontal="centerContinuous"/>
    </xf>
    <xf numFmtId="167" fontId="16" fillId="0" borderId="5" xfId="2" applyNumberFormat="1" applyFont="1" applyFill="1" applyBorder="1"/>
    <xf numFmtId="0" fontId="13" fillId="0" borderId="3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center"/>
    </xf>
    <xf numFmtId="166" fontId="13" fillId="0" borderId="8" xfId="3" applyNumberFormat="1" applyFont="1" applyFill="1" applyBorder="1"/>
    <xf numFmtId="2" fontId="9" fillId="0" borderId="0" xfId="2" applyNumberFormat="1" applyFont="1" applyFill="1" applyBorder="1"/>
    <xf numFmtId="2" fontId="9" fillId="0" borderId="20" xfId="2" applyNumberFormat="1" applyFont="1" applyFill="1" applyBorder="1"/>
    <xf numFmtId="44" fontId="10" fillId="0" borderId="38" xfId="2" applyFont="1" applyFill="1" applyBorder="1"/>
    <xf numFmtId="0" fontId="12" fillId="0" borderId="0" xfId="0" applyFont="1" applyFill="1"/>
    <xf numFmtId="44" fontId="10" fillId="0" borderId="20" xfId="2" applyFont="1" applyFill="1" applyBorder="1"/>
    <xf numFmtId="9" fontId="10" fillId="0" borderId="20" xfId="3" applyFont="1" applyFill="1" applyBorder="1"/>
    <xf numFmtId="0" fontId="10" fillId="0" borderId="20" xfId="2" applyNumberFormat="1" applyFont="1" applyFill="1" applyBorder="1"/>
    <xf numFmtId="9" fontId="10" fillId="0" borderId="23" xfId="3" applyFont="1" applyFill="1" applyBorder="1"/>
    <xf numFmtId="0" fontId="12" fillId="0" borderId="0" xfId="0" applyFont="1" applyFill="1" applyBorder="1" applyAlignment="1">
      <alignment horizontal="right"/>
    </xf>
    <xf numFmtId="0" fontId="12" fillId="0" borderId="19" xfId="0" applyFont="1" applyFill="1" applyBorder="1"/>
    <xf numFmtId="0" fontId="12" fillId="0" borderId="0" xfId="0" applyFont="1" applyFill="1" applyBorder="1"/>
    <xf numFmtId="0" fontId="12" fillId="0" borderId="20" xfId="0" applyFont="1" applyFill="1" applyBorder="1"/>
    <xf numFmtId="167" fontId="12" fillId="0" borderId="0" xfId="2" applyNumberFormat="1" applyFont="1" applyFill="1" applyBorder="1"/>
    <xf numFmtId="167" fontId="12" fillId="0" borderId="20" xfId="2" applyNumberFormat="1" applyFont="1" applyFill="1" applyBorder="1"/>
    <xf numFmtId="168" fontId="12" fillId="0" borderId="0" xfId="0" applyNumberFormat="1" applyFont="1" applyFill="1" applyBorder="1"/>
    <xf numFmtId="168" fontId="12" fillId="0" borderId="20" xfId="0" applyNumberFormat="1" applyFont="1" applyFill="1" applyBorder="1"/>
    <xf numFmtId="168" fontId="12" fillId="0" borderId="0" xfId="1" applyNumberFormat="1" applyFont="1" applyFill="1" applyBorder="1"/>
    <xf numFmtId="168" fontId="12" fillId="0" borderId="20" xfId="1" applyNumberFormat="1" applyFont="1" applyFill="1" applyBorder="1"/>
    <xf numFmtId="168" fontId="12" fillId="0" borderId="22" xfId="0" applyNumberFormat="1" applyFont="1" applyFill="1" applyBorder="1"/>
    <xf numFmtId="168" fontId="12" fillId="0" borderId="23" xfId="1" applyNumberFormat="1" applyFont="1" applyFill="1" applyBorder="1"/>
    <xf numFmtId="0" fontId="12" fillId="0" borderId="0" xfId="0" applyFont="1" applyFill="1" applyAlignment="1">
      <alignment horizontal="right"/>
    </xf>
    <xf numFmtId="165" fontId="12" fillId="0" borderId="0" xfId="1" applyNumberFormat="1" applyFont="1" applyFill="1"/>
    <xf numFmtId="166" fontId="13" fillId="0" borderId="21" xfId="3" applyNumberFormat="1" applyFont="1" applyFill="1" applyBorder="1"/>
    <xf numFmtId="2" fontId="9" fillId="0" borderId="22" xfId="2" applyNumberFormat="1" applyFont="1" applyFill="1" applyBorder="1"/>
    <xf numFmtId="2" fontId="9" fillId="0" borderId="23" xfId="2" applyNumberFormat="1" applyFont="1" applyFill="1" applyBorder="1"/>
    <xf numFmtId="0" fontId="12" fillId="0" borderId="19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167" fontId="12" fillId="8" borderId="5" xfId="2" applyNumberFormat="1" applyFont="1" applyFill="1" applyBorder="1"/>
    <xf numFmtId="168" fontId="12" fillId="0" borderId="0" xfId="2" applyNumberFormat="1" applyFont="1" applyFill="1" applyBorder="1"/>
    <xf numFmtId="0" fontId="12" fillId="0" borderId="0" xfId="0" quotePrefix="1" applyFont="1" applyBorder="1"/>
    <xf numFmtId="0" fontId="12" fillId="0" borderId="20" xfId="0" applyFont="1" applyBorder="1"/>
    <xf numFmtId="2" fontId="9" fillId="0" borderId="5" xfId="0" applyNumberFormat="1" applyFont="1" applyBorder="1" applyAlignment="1">
      <alignment horizontal="center"/>
    </xf>
    <xf numFmtId="0" fontId="9" fillId="0" borderId="5" xfId="0" applyFont="1" applyFill="1" applyBorder="1"/>
    <xf numFmtId="167" fontId="9" fillId="0" borderId="5" xfId="2" applyNumberFormat="1" applyFont="1" applyBorder="1"/>
    <xf numFmtId="0" fontId="12" fillId="0" borderId="0" xfId="0" applyFont="1" applyBorder="1"/>
    <xf numFmtId="2" fontId="9" fillId="0" borderId="5" xfId="0" applyNumberFormat="1" applyFont="1" applyFill="1" applyBorder="1" applyAlignment="1">
      <alignment horizontal="center"/>
    </xf>
    <xf numFmtId="0" fontId="9" fillId="0" borderId="0" xfId="0" applyNumberFormat="1" applyFont="1" applyFill="1" applyBorder="1"/>
    <xf numFmtId="0" fontId="9" fillId="0" borderId="20" xfId="0" applyFont="1" applyBorder="1"/>
    <xf numFmtId="165" fontId="12" fillId="0" borderId="0" xfId="1" applyNumberFormat="1" applyFont="1" applyBorder="1"/>
    <xf numFmtId="0" fontId="12" fillId="0" borderId="22" xfId="0" applyFont="1" applyBorder="1"/>
    <xf numFmtId="0" fontId="12" fillId="0" borderId="23" xfId="0" applyFont="1" applyBorder="1"/>
    <xf numFmtId="0" fontId="9" fillId="0" borderId="0" xfId="0" applyFont="1" applyFill="1" applyAlignment="1">
      <alignment horizontal="right"/>
    </xf>
    <xf numFmtId="168" fontId="9" fillId="0" borderId="0" xfId="0" applyNumberFormat="1" applyFont="1" applyFill="1" applyAlignment="1">
      <alignment horizontal="center"/>
    </xf>
    <xf numFmtId="0" fontId="9" fillId="0" borderId="22" xfId="0" applyFont="1" applyFill="1" applyBorder="1" applyAlignment="1">
      <alignment horizontal="right"/>
    </xf>
    <xf numFmtId="0" fontId="9" fillId="0" borderId="19" xfId="0" applyFont="1" applyFill="1" applyBorder="1" applyAlignment="1">
      <alignment horizontal="right"/>
    </xf>
    <xf numFmtId="0" fontId="9" fillId="0" borderId="39" xfId="0" applyFont="1" applyFill="1" applyBorder="1" applyAlignment="1">
      <alignment horizontal="right"/>
    </xf>
    <xf numFmtId="0" fontId="9" fillId="0" borderId="37" xfId="0" applyFont="1" applyFill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39" xfId="0" applyFont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44" fontId="10" fillId="0" borderId="17" xfId="2" applyFont="1" applyFill="1" applyBorder="1"/>
    <xf numFmtId="0" fontId="9" fillId="0" borderId="18" xfId="0" applyFont="1" applyFill="1" applyBorder="1"/>
    <xf numFmtId="170" fontId="9" fillId="0" borderId="18" xfId="0" applyNumberFormat="1" applyFont="1" applyFill="1" applyBorder="1"/>
    <xf numFmtId="9" fontId="9" fillId="0" borderId="0" xfId="0" applyNumberFormat="1" applyFont="1"/>
    <xf numFmtId="0" fontId="9" fillId="0" borderId="14" xfId="0" applyFont="1" applyFill="1" applyBorder="1" applyAlignment="1">
      <alignment horizontal="right"/>
    </xf>
    <xf numFmtId="44" fontId="10" fillId="0" borderId="0" xfId="2" applyFont="1" applyFill="1" applyBorder="1"/>
    <xf numFmtId="0" fontId="9" fillId="0" borderId="15" xfId="0" applyFont="1" applyFill="1" applyBorder="1"/>
    <xf numFmtId="170" fontId="9" fillId="0" borderId="15" xfId="0" applyNumberFormat="1" applyFont="1" applyFill="1" applyBorder="1"/>
    <xf numFmtId="0" fontId="10" fillId="0" borderId="0" xfId="0" applyFont="1"/>
    <xf numFmtId="9" fontId="10" fillId="0" borderId="0" xfId="3" applyFont="1" applyFill="1" applyBorder="1"/>
    <xf numFmtId="0" fontId="9" fillId="0" borderId="15" xfId="0" applyFont="1" applyFill="1" applyBorder="1" applyAlignment="1">
      <alignment horizontal="center"/>
    </xf>
    <xf numFmtId="0" fontId="12" fillId="0" borderId="0" xfId="0" applyFont="1"/>
    <xf numFmtId="0" fontId="9" fillId="0" borderId="6" xfId="0" applyFont="1" applyFill="1" applyBorder="1" applyAlignment="1">
      <alignment horizontal="right"/>
    </xf>
    <xf numFmtId="0" fontId="10" fillId="0" borderId="1" xfId="1" applyNumberFormat="1" applyFont="1" applyFill="1" applyBorder="1"/>
    <xf numFmtId="0" fontId="9" fillId="0" borderId="7" xfId="0" applyFont="1" applyFill="1" applyBorder="1" applyAlignment="1">
      <alignment horizontal="center"/>
    </xf>
    <xf numFmtId="170" fontId="9" fillId="0" borderId="7" xfId="0" applyNumberFormat="1" applyFont="1" applyFill="1" applyBorder="1"/>
    <xf numFmtId="165" fontId="18" fillId="0" borderId="0" xfId="1" applyNumberFormat="1" applyFont="1" applyFill="1"/>
    <xf numFmtId="0" fontId="9" fillId="0" borderId="0" xfId="0" applyNumberFormat="1" applyFont="1" applyFill="1"/>
    <xf numFmtId="44" fontId="12" fillId="2" borderId="5" xfId="0" applyNumberFormat="1" applyFont="1" applyFill="1" applyBorder="1"/>
    <xf numFmtId="44" fontId="12" fillId="0" borderId="0" xfId="0" applyNumberFormat="1" applyFont="1" applyFill="1" applyBorder="1"/>
    <xf numFmtId="0" fontId="12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10" fillId="3" borderId="0" xfId="1" applyNumberFormat="1" applyFont="1" applyFill="1" applyAlignment="1">
      <alignment horizontal="center"/>
    </xf>
    <xf numFmtId="0" fontId="13" fillId="3" borderId="0" xfId="1" applyNumberFormat="1" applyFont="1" applyFill="1" applyAlignment="1">
      <alignment horizontal="center"/>
    </xf>
    <xf numFmtId="0" fontId="12" fillId="0" borderId="2" xfId="0" applyFont="1" applyBorder="1" applyAlignment="1">
      <alignment horizontal="centerContinuous"/>
    </xf>
    <xf numFmtId="0" fontId="9" fillId="0" borderId="3" xfId="0" applyFont="1" applyBorder="1" applyAlignment="1">
      <alignment horizontal="centerContinuous"/>
    </xf>
    <xf numFmtId="0" fontId="9" fillId="0" borderId="4" xfId="0" applyFont="1" applyBorder="1" applyAlignment="1">
      <alignment horizontal="centerContinuous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44" fontId="9" fillId="2" borderId="14" xfId="2" applyFont="1" applyFill="1" applyBorder="1"/>
    <xf numFmtId="44" fontId="9" fillId="2" borderId="0" xfId="2" applyFont="1" applyFill="1" applyBorder="1"/>
    <xf numFmtId="0" fontId="13" fillId="5" borderId="8" xfId="0" applyFont="1" applyFill="1" applyBorder="1" applyAlignment="1">
      <alignment horizontal="center"/>
    </xf>
    <xf numFmtId="0" fontId="9" fillId="0" borderId="14" xfId="0" applyNumberFormat="1" applyFont="1" applyBorder="1"/>
    <xf numFmtId="0" fontId="9" fillId="0" borderId="0" xfId="0" applyNumberFormat="1" applyFont="1" applyBorder="1"/>
    <xf numFmtId="0" fontId="9" fillId="0" borderId="6" xfId="0" applyNumberFormat="1" applyFont="1" applyBorder="1"/>
    <xf numFmtId="0" fontId="9" fillId="0" borderId="1" xfId="0" applyNumberFormat="1" applyFont="1" applyBorder="1"/>
    <xf numFmtId="0" fontId="9" fillId="0" borderId="1" xfId="0" applyNumberFormat="1" applyFont="1" applyFill="1" applyBorder="1"/>
    <xf numFmtId="44" fontId="9" fillId="2" borderId="1" xfId="2" applyFont="1" applyFill="1" applyBorder="1"/>
    <xf numFmtId="0" fontId="13" fillId="5" borderId="9" xfId="0" applyFont="1" applyFill="1" applyBorder="1" applyAlignment="1">
      <alignment horizontal="center"/>
    </xf>
    <xf numFmtId="0" fontId="12" fillId="0" borderId="6" xfId="0" applyFont="1" applyBorder="1"/>
    <xf numFmtId="0" fontId="9" fillId="0" borderId="1" xfId="0" applyFont="1" applyBorder="1"/>
    <xf numFmtId="0" fontId="9" fillId="0" borderId="7" xfId="0" applyFont="1" applyBorder="1" applyAlignment="1">
      <alignment horizontal="right"/>
    </xf>
    <xf numFmtId="0" fontId="12" fillId="4" borderId="2" xfId="0" applyFont="1" applyFill="1" applyBorder="1" applyAlignment="1">
      <alignment horizontal="right"/>
    </xf>
    <xf numFmtId="0" fontId="9" fillId="4" borderId="3" xfId="0" applyFont="1" applyFill="1" applyBorder="1" applyAlignment="1">
      <alignment horizontal="center"/>
    </xf>
    <xf numFmtId="164" fontId="9" fillId="6" borderId="16" xfId="0" applyNumberFormat="1" applyFont="1" applyFill="1" applyBorder="1"/>
    <xf numFmtId="164" fontId="9" fillId="6" borderId="17" xfId="0" applyNumberFormat="1" applyFont="1" applyFill="1" applyBorder="1"/>
    <xf numFmtId="44" fontId="9" fillId="6" borderId="17" xfId="0" applyNumberFormat="1" applyFont="1" applyFill="1" applyBorder="1"/>
    <xf numFmtId="0" fontId="13" fillId="5" borderId="27" xfId="0" applyFont="1" applyFill="1" applyBorder="1" applyAlignment="1">
      <alignment horizontal="center"/>
    </xf>
    <xf numFmtId="44" fontId="9" fillId="0" borderId="0" xfId="0" applyNumberFormat="1" applyFont="1"/>
    <xf numFmtId="164" fontId="9" fillId="6" borderId="0" xfId="0" applyNumberFormat="1" applyFont="1" applyFill="1" applyBorder="1"/>
    <xf numFmtId="44" fontId="9" fillId="6" borderId="0" xfId="0" applyNumberFormat="1" applyFont="1" applyFill="1" applyBorder="1"/>
    <xf numFmtId="0" fontId="9" fillId="6" borderId="0" xfId="0" applyNumberFormat="1" applyFont="1" applyFill="1" applyBorder="1"/>
    <xf numFmtId="44" fontId="9" fillId="6" borderId="1" xfId="0" applyNumberFormat="1" applyFont="1" applyFill="1" applyBorder="1"/>
    <xf numFmtId="0" fontId="9" fillId="0" borderId="0" xfId="0" applyNumberFormat="1" applyFont="1"/>
    <xf numFmtId="9" fontId="10" fillId="0" borderId="0" xfId="3" applyNumberFormat="1" applyFont="1" applyFill="1" applyBorder="1"/>
    <xf numFmtId="171" fontId="10" fillId="0" borderId="1" xfId="1" applyNumberFormat="1" applyFont="1" applyFill="1" applyBorder="1"/>
    <xf numFmtId="165" fontId="18" fillId="0" borderId="0" xfId="1" applyNumberFormat="1" applyFont="1"/>
    <xf numFmtId="0" fontId="13" fillId="5" borderId="1" xfId="0" applyFont="1" applyFill="1" applyBorder="1" applyAlignment="1">
      <alignment horizontal="center"/>
    </xf>
    <xf numFmtId="44" fontId="9" fillId="2" borderId="16" xfId="2" applyFont="1" applyFill="1" applyBorder="1"/>
    <xf numFmtId="44" fontId="9" fillId="2" borderId="17" xfId="2" applyFont="1" applyFill="1" applyBorder="1"/>
    <xf numFmtId="44" fontId="9" fillId="0" borderId="14" xfId="2" applyFont="1" applyBorder="1"/>
    <xf numFmtId="44" fontId="9" fillId="0" borderId="0" xfId="2" applyFont="1" applyBorder="1"/>
    <xf numFmtId="44" fontId="9" fillId="0" borderId="6" xfId="2" applyFont="1" applyBorder="1"/>
    <xf numFmtId="44" fontId="9" fillId="0" borderId="1" xfId="2" applyFont="1" applyBorder="1"/>
    <xf numFmtId="44" fontId="9" fillId="0" borderId="1" xfId="2" applyFont="1" applyFill="1" applyBorder="1"/>
    <xf numFmtId="44" fontId="9" fillId="6" borderId="16" xfId="2" applyFont="1" applyFill="1" applyBorder="1"/>
    <xf numFmtId="44" fontId="9" fillId="6" borderId="17" xfId="2" applyFont="1" applyFill="1" applyBorder="1"/>
    <xf numFmtId="44" fontId="9" fillId="6" borderId="18" xfId="0" applyNumberFormat="1" applyFont="1" applyFill="1" applyBorder="1"/>
    <xf numFmtId="44" fontId="9" fillId="6" borderId="0" xfId="2" applyFont="1" applyFill="1" applyBorder="1"/>
    <xf numFmtId="44" fontId="9" fillId="6" borderId="15" xfId="0" applyNumberFormat="1" applyFont="1" applyFill="1" applyBorder="1"/>
    <xf numFmtId="44" fontId="9" fillId="6" borderId="7" xfId="0" applyNumberFormat="1" applyFont="1" applyFill="1" applyBorder="1"/>
    <xf numFmtId="0" fontId="9" fillId="0" borderId="0" xfId="0" applyFont="1" applyFill="1" applyAlignment="1">
      <alignment horizontal="center"/>
    </xf>
    <xf numFmtId="168" fontId="0" fillId="0" borderId="5" xfId="0" applyNumberFormat="1" applyBorder="1"/>
    <xf numFmtId="10" fontId="10" fillId="0" borderId="8" xfId="3" applyNumberFormat="1" applyFont="1" applyFill="1" applyBorder="1"/>
    <xf numFmtId="44" fontId="9" fillId="0" borderId="9" xfId="2" applyNumberFormat="1" applyFont="1" applyFill="1" applyBorder="1"/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12" fillId="0" borderId="40" xfId="0" applyFon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12" fillId="0" borderId="41" xfId="0" applyFont="1" applyFill="1" applyBorder="1" applyAlignment="1">
      <alignment horizontal="center"/>
    </xf>
    <xf numFmtId="0" fontId="12" fillId="0" borderId="24" xfId="0" applyFont="1" applyBorder="1" applyAlignment="1">
      <alignment horizontal="center" vertical="center" textRotation="90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12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0" fontId="8" fillId="0" borderId="17" xfId="0" applyFont="1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0" xfId="0" applyFont="1" applyFill="1" applyAlignment="1">
      <alignment horizontal="center" vertical="center" wrapText="1"/>
    </xf>
    <xf numFmtId="0" fontId="9" fillId="0" borderId="3" xfId="0" applyFont="1" applyBorder="1" applyAlignment="1">
      <alignment horizontal="center"/>
    </xf>
  </cellXfs>
  <cellStyles count="8">
    <cellStyle name="Comma" xfId="1" builtinId="3"/>
    <cellStyle name="Currency" xfId="2" builtinId="4"/>
    <cellStyle name="Followed Hyperlink" xfId="5" builtinId="9" hidden="1"/>
    <cellStyle name="Followed Hyperlink" xfId="7" builtinId="9" hidden="1"/>
    <cellStyle name="Hyperlink" xfId="4" builtinId="8" hidden="1"/>
    <cellStyle name="Hyperlink" xfId="6" builtinId="8" hidden="1"/>
    <cellStyle name="Normal" xfId="0" builtinId="0"/>
    <cellStyle name="Percent" xfId="3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00FF"/>
      <color rgb="FF99CCFF"/>
      <color rgb="FFFF00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Option Value</a:t>
            </a:r>
            <a:r>
              <a:rPr lang="en-US" baseline="0"/>
              <a:t> vs Time to Expiration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'Black-Scholes-Merton'!$Q$27:$Q$50</c:f>
              <c:numCache>
                <c:formatCode>0.00</c:formatCode>
                <c:ptCount val="24"/>
                <c:pt idx="0">
                  <c:v>12</c:v>
                </c:pt>
                <c:pt idx="1">
                  <c:v>11.5</c:v>
                </c:pt>
                <c:pt idx="2">
                  <c:v>11</c:v>
                </c:pt>
                <c:pt idx="3">
                  <c:v>10.5</c:v>
                </c:pt>
                <c:pt idx="4">
                  <c:v>10</c:v>
                </c:pt>
                <c:pt idx="5">
                  <c:v>9.5</c:v>
                </c:pt>
                <c:pt idx="6">
                  <c:v>9</c:v>
                </c:pt>
                <c:pt idx="7">
                  <c:v>8.5</c:v>
                </c:pt>
                <c:pt idx="8">
                  <c:v>8</c:v>
                </c:pt>
                <c:pt idx="9">
                  <c:v>7.5</c:v>
                </c:pt>
                <c:pt idx="10">
                  <c:v>7</c:v>
                </c:pt>
                <c:pt idx="11">
                  <c:v>6.5</c:v>
                </c:pt>
                <c:pt idx="12">
                  <c:v>6</c:v>
                </c:pt>
                <c:pt idx="13">
                  <c:v>5.5</c:v>
                </c:pt>
                <c:pt idx="14">
                  <c:v>5</c:v>
                </c:pt>
                <c:pt idx="15">
                  <c:v>4.5</c:v>
                </c:pt>
                <c:pt idx="16">
                  <c:v>4</c:v>
                </c:pt>
                <c:pt idx="17">
                  <c:v>3.5</c:v>
                </c:pt>
                <c:pt idx="18">
                  <c:v>3</c:v>
                </c:pt>
                <c:pt idx="19">
                  <c:v>2.5</c:v>
                </c:pt>
                <c:pt idx="20">
                  <c:v>2</c:v>
                </c:pt>
                <c:pt idx="21">
                  <c:v>1.5</c:v>
                </c:pt>
                <c:pt idx="22">
                  <c:v>1</c:v>
                </c:pt>
                <c:pt idx="23">
                  <c:v>0.5</c:v>
                </c:pt>
              </c:numCache>
            </c:numRef>
          </c:xVal>
          <c:yVal>
            <c:numRef>
              <c:f>'Black-Scholes-Merton'!$S$27:$S$50</c:f>
              <c:numCache>
                <c:formatCode>_("$"* #,##0.0000_);_("$"* \(#,##0.0000\);_("$"* "-"??_);_(@_)</c:formatCode>
                <c:ptCount val="24"/>
                <c:pt idx="0">
                  <c:v>10.159234655029351</c:v>
                </c:pt>
                <c:pt idx="1">
                  <c:v>9.9089175076249063</c:v>
                </c:pt>
                <c:pt idx="2">
                  <c:v>9.654268555392008</c:v>
                </c:pt>
                <c:pt idx="3">
                  <c:v>9.3950246618667244</c:v>
                </c:pt>
                <c:pt idx="4">
                  <c:v>9.1308915016052552</c:v>
                </c:pt>
                <c:pt idx="5">
                  <c:v>8.8615380514892124</c:v>
                </c:pt>
                <c:pt idx="6">
                  <c:v>8.5865897608247401</c:v>
                </c:pt>
                <c:pt idx="7">
                  <c:v>8.3056199905506354</c:v>
                </c:pt>
                <c:pt idx="8">
                  <c:v>8.018139152605368</c:v>
                </c:pt>
                <c:pt idx="9">
                  <c:v>7.7235807451889578</c:v>
                </c:pt>
                <c:pt idx="10">
                  <c:v>7.4212831243039368</c:v>
                </c:pt>
                <c:pt idx="11">
                  <c:v>7.1104653020424848</c:v>
                </c:pt>
                <c:pt idx="12">
                  <c:v>6.7901941872318723</c:v>
                </c:pt>
                <c:pt idx="13">
                  <c:v>6.4593392477837774</c:v>
                </c:pt>
                <c:pt idx="14">
                  <c:v>6.116508129330871</c:v>
                </c:pt>
                <c:pt idx="15">
                  <c:v>5.7599524246885672</c:v>
                </c:pt>
                <c:pt idx="16">
                  <c:v>5.3874246927795255</c:v>
                </c:pt>
                <c:pt idx="17">
                  <c:v>4.995951800279645</c:v>
                </c:pt>
                <c:pt idx="18">
                  <c:v>4.5814555505432395</c:v>
                </c:pt>
                <c:pt idx="19">
                  <c:v>4.13807204210012</c:v>
                </c:pt>
                <c:pt idx="20">
                  <c:v>3.6568124645045508</c:v>
                </c:pt>
                <c:pt idx="21">
                  <c:v>3.1225635374844529</c:v>
                </c:pt>
                <c:pt idx="22">
                  <c:v>2.5058918661509821</c:v>
                </c:pt>
                <c:pt idx="23">
                  <c:v>1.7309016596710478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6F-254F-A4A5-CEBB0FC2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80480"/>
        <c:axId val="72182400"/>
      </c:scatterChart>
      <c:valAx>
        <c:axId val="7218048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Expiration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2400"/>
        <c:crosses val="autoZero"/>
        <c:crossBetween val="midCat"/>
      </c:valAx>
      <c:valAx>
        <c:axId val="72182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Call Option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12701</xdr:colOff>
      <xdr:row>25</xdr:row>
      <xdr:rowOff>12700</xdr:rowOff>
    </xdr:from>
    <xdr:to>
      <xdr:col>14</xdr:col>
      <xdr:colOff>660400</xdr:colOff>
      <xdr:row>50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1308100</xdr:colOff>
          <xdr:row>2</xdr:row>
          <xdr:rowOff>177800</xdr:rowOff>
        </xdr:from>
        <xdr:to>
          <xdr:col>13</xdr:col>
          <xdr:colOff>12700</xdr:colOff>
          <xdr:row>5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98F4060-926E-2240-ABD1-DDA8EC1F2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Generate Stock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AI84"/>
  <sheetViews>
    <sheetView tabSelected="1" workbookViewId="0">
      <selection activeCell="C7" sqref="C7"/>
    </sheetView>
  </sheetViews>
  <sheetFormatPr baseColWidth="10" defaultColWidth="8.83203125" defaultRowHeight="16" x14ac:dyDescent="0.2"/>
  <cols>
    <col min="1" max="1" width="8.83203125" style="1"/>
    <col min="2" max="2" width="9.33203125" style="1" bestFit="1" customWidth="1"/>
    <col min="3" max="3" width="11.6640625" style="1" customWidth="1"/>
    <col min="4" max="4" width="14.1640625" style="1" bestFit="1" customWidth="1"/>
    <col min="5" max="5" width="9.33203125" style="1" bestFit="1" customWidth="1"/>
    <col min="6" max="6" width="11.33203125" style="1" bestFit="1" customWidth="1"/>
    <col min="7" max="16" width="9.33203125" style="1" bestFit="1" customWidth="1"/>
    <col min="17" max="17" width="9.5" style="1" bestFit="1" customWidth="1"/>
    <col min="18" max="18" width="10.1640625" style="1" bestFit="1" customWidth="1"/>
    <col min="19" max="19" width="9.5" style="1" bestFit="1" customWidth="1"/>
    <col min="20" max="31" width="10.1640625" style="1" bestFit="1" customWidth="1"/>
    <col min="32" max="32" width="10.5" style="1" bestFit="1" customWidth="1"/>
    <col min="33" max="33" width="6" style="1" customWidth="1"/>
    <col min="34" max="16384" width="8.83203125" style="1"/>
  </cols>
  <sheetData>
    <row r="1" spans="1:33" x14ac:dyDescent="0.2">
      <c r="B1" s="224" t="s">
        <v>60</v>
      </c>
      <c r="C1" s="225"/>
      <c r="D1" s="225"/>
      <c r="E1" s="225"/>
      <c r="F1" s="226"/>
    </row>
    <row r="3" spans="1:33" x14ac:dyDescent="0.2">
      <c r="B3" s="146" t="s">
        <v>6</v>
      </c>
      <c r="C3" s="147">
        <v>50</v>
      </c>
      <c r="D3" s="148"/>
      <c r="E3" s="146" t="s">
        <v>0</v>
      </c>
      <c r="F3" s="149">
        <f>EXP(C6*SQRT(C7))</f>
        <v>1.0482692303335082</v>
      </c>
      <c r="M3" s="150"/>
    </row>
    <row r="4" spans="1:33" x14ac:dyDescent="0.2">
      <c r="B4" s="151" t="s">
        <v>5</v>
      </c>
      <c r="C4" s="152">
        <v>50</v>
      </c>
      <c r="D4" s="153"/>
      <c r="E4" s="151" t="s">
        <v>1</v>
      </c>
      <c r="F4" s="154">
        <f>EXP(-C6*SQRT(C7))</f>
        <v>0.9539534034418321</v>
      </c>
      <c r="I4" s="155"/>
    </row>
    <row r="5" spans="1:33" ht="18" x14ac:dyDescent="0.25">
      <c r="B5" s="151" t="s">
        <v>110</v>
      </c>
      <c r="C5" s="156">
        <v>0.1</v>
      </c>
      <c r="D5" s="157" t="s">
        <v>16</v>
      </c>
      <c r="E5" s="151" t="s">
        <v>2</v>
      </c>
      <c r="F5" s="154">
        <f>EXP(C5*C7)</f>
        <v>1.0013898538417474</v>
      </c>
      <c r="I5" s="158"/>
    </row>
    <row r="6" spans="1:33" x14ac:dyDescent="0.2">
      <c r="B6" s="151" t="s">
        <v>109</v>
      </c>
      <c r="C6" s="156">
        <v>0.4</v>
      </c>
      <c r="D6" s="157" t="s">
        <v>16</v>
      </c>
      <c r="E6" s="151" t="s">
        <v>3</v>
      </c>
      <c r="F6" s="154">
        <f>(F5-F4)/(F3-F4)</f>
        <v>0.50295323662270564</v>
      </c>
    </row>
    <row r="7" spans="1:33" x14ac:dyDescent="0.2">
      <c r="B7" s="159" t="s">
        <v>7</v>
      </c>
      <c r="C7" s="160">
        <f>5/12/30</f>
        <v>1.388888888888889E-2</v>
      </c>
      <c r="D7" s="161" t="s">
        <v>17</v>
      </c>
      <c r="E7" s="159" t="s">
        <v>4</v>
      </c>
      <c r="F7" s="162">
        <f>1-F6</f>
        <v>0.49704676337729436</v>
      </c>
    </row>
    <row r="8" spans="1:33" x14ac:dyDescent="0.2">
      <c r="B8" s="138"/>
      <c r="C8" s="163"/>
      <c r="D8" s="2"/>
      <c r="E8" s="138"/>
      <c r="F8" s="164"/>
    </row>
    <row r="9" spans="1:33" x14ac:dyDescent="0.2">
      <c r="B9" s="2"/>
      <c r="C9" s="2"/>
      <c r="D9" s="2"/>
      <c r="E9" s="138" t="s">
        <v>9</v>
      </c>
      <c r="F9" s="165">
        <f>B52</f>
        <v>6.0742457307030326</v>
      </c>
    </row>
    <row r="10" spans="1:33" x14ac:dyDescent="0.2">
      <c r="E10" s="17"/>
      <c r="F10" s="166"/>
    </row>
    <row r="11" spans="1:33" x14ac:dyDescent="0.2">
      <c r="B11" s="167" t="s">
        <v>11</v>
      </c>
      <c r="C11" s="168"/>
      <c r="D11" s="169"/>
      <c r="E11" s="17"/>
      <c r="F11" s="166"/>
    </row>
    <row r="12" spans="1:33" x14ac:dyDescent="0.2">
      <c r="B12" s="131"/>
      <c r="C12" s="20"/>
      <c r="D12" s="20"/>
      <c r="E12" s="17"/>
      <c r="F12" s="166"/>
    </row>
    <row r="13" spans="1:33" x14ac:dyDescent="0.2">
      <c r="A13" s="170" t="s">
        <v>14</v>
      </c>
      <c r="B13" s="170">
        <v>0</v>
      </c>
      <c r="C13" s="170">
        <v>1</v>
      </c>
      <c r="D13" s="170">
        <v>2</v>
      </c>
      <c r="E13" s="170">
        <v>3</v>
      </c>
      <c r="F13" s="170">
        <v>4</v>
      </c>
      <c r="G13" s="170">
        <v>5</v>
      </c>
      <c r="H13" s="170">
        <v>6</v>
      </c>
      <c r="I13" s="170">
        <v>7</v>
      </c>
      <c r="J13" s="170">
        <v>8</v>
      </c>
      <c r="K13" s="170">
        <v>9</v>
      </c>
      <c r="L13" s="170">
        <v>10</v>
      </c>
      <c r="M13" s="170">
        <v>11</v>
      </c>
      <c r="N13" s="170">
        <v>12</v>
      </c>
      <c r="O13" s="170">
        <v>13</v>
      </c>
      <c r="P13" s="170">
        <v>14</v>
      </c>
      <c r="Q13" s="170">
        <v>15</v>
      </c>
      <c r="R13" s="170">
        <v>16</v>
      </c>
      <c r="S13" s="170">
        <v>17</v>
      </c>
      <c r="T13" s="170">
        <v>18</v>
      </c>
      <c r="U13" s="170">
        <v>19</v>
      </c>
      <c r="V13" s="170">
        <v>20</v>
      </c>
      <c r="W13" s="170">
        <v>21</v>
      </c>
      <c r="X13" s="170">
        <v>22</v>
      </c>
      <c r="Y13" s="170">
        <v>23</v>
      </c>
      <c r="Z13" s="170">
        <v>24</v>
      </c>
      <c r="AA13" s="170">
        <v>25</v>
      </c>
      <c r="AB13" s="170">
        <v>26</v>
      </c>
      <c r="AC13" s="170">
        <v>27</v>
      </c>
      <c r="AD13" s="170">
        <v>28</v>
      </c>
      <c r="AE13" s="170">
        <v>29</v>
      </c>
      <c r="AF13" s="171">
        <v>30</v>
      </c>
      <c r="AG13" s="170" t="s">
        <v>15</v>
      </c>
    </row>
    <row r="14" spans="1:33" x14ac:dyDescent="0.2">
      <c r="B14" s="172" t="s">
        <v>10</v>
      </c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4"/>
    </row>
    <row r="15" spans="1:33" x14ac:dyDescent="0.2">
      <c r="B15" s="175">
        <v>30</v>
      </c>
      <c r="C15" s="176">
        <v>29</v>
      </c>
      <c r="D15" s="176">
        <v>28</v>
      </c>
      <c r="E15" s="176">
        <v>27</v>
      </c>
      <c r="F15" s="176">
        <v>26</v>
      </c>
      <c r="G15" s="176">
        <v>25</v>
      </c>
      <c r="H15" s="176">
        <v>24</v>
      </c>
      <c r="I15" s="176">
        <v>23</v>
      </c>
      <c r="J15" s="176">
        <v>22</v>
      </c>
      <c r="K15" s="176">
        <v>21</v>
      </c>
      <c r="L15" s="176">
        <v>20</v>
      </c>
      <c r="M15" s="176">
        <v>19</v>
      </c>
      <c r="N15" s="176">
        <v>18</v>
      </c>
      <c r="O15" s="176">
        <v>17</v>
      </c>
      <c r="P15" s="176">
        <v>16</v>
      </c>
      <c r="Q15" s="176">
        <v>15</v>
      </c>
      <c r="R15" s="176">
        <v>14</v>
      </c>
      <c r="S15" s="176">
        <v>13</v>
      </c>
      <c r="T15" s="176">
        <v>12</v>
      </c>
      <c r="U15" s="176">
        <v>11</v>
      </c>
      <c r="V15" s="176">
        <v>10</v>
      </c>
      <c r="W15" s="176">
        <v>9</v>
      </c>
      <c r="X15" s="176">
        <v>8</v>
      </c>
      <c r="Y15" s="176">
        <v>7</v>
      </c>
      <c r="Z15" s="176">
        <v>6</v>
      </c>
      <c r="AA15" s="176">
        <v>5</v>
      </c>
      <c r="AB15" s="176">
        <v>4</v>
      </c>
      <c r="AC15" s="176">
        <v>3</v>
      </c>
      <c r="AD15" s="176">
        <v>2</v>
      </c>
      <c r="AE15" s="176">
        <v>1</v>
      </c>
      <c r="AF15" s="176">
        <v>0</v>
      </c>
      <c r="AG15" s="177" t="s">
        <v>18</v>
      </c>
    </row>
    <row r="16" spans="1:33" x14ac:dyDescent="0.2">
      <c r="B16" s="178">
        <f>StockPrice</f>
        <v>50</v>
      </c>
      <c r="C16" s="179">
        <f>IF(B16&lt;&gt;"",StockPrice*(u^($AG$16-C15))*(d^(C13-$AG$16+C15)),"")</f>
        <v>52.413461516675412</v>
      </c>
      <c r="D16" s="179">
        <f>IF($C$16&lt;&gt;"",StockPrice*(u^(AG16-$D$15))*(d^($D$13-AG16+$D$15)),"")</f>
        <v>54.943418963200273</v>
      </c>
      <c r="E16" s="179">
        <f>IF($D$16&lt;&gt;"",StockPrice*(u^(AG16-$E$15))*(d^($E$13-AG16+$E$15)),"")</f>
        <v>57.595495508445424</v>
      </c>
      <c r="F16" s="179">
        <f>IF($E$16&lt;&gt;"",StockPrice*(u^(AG16-$F$15))*(d^($F$13-AG16+$F$15)),"")</f>
        <v>60.375585747315107</v>
      </c>
      <c r="G16" s="179">
        <f t="shared" ref="G16:G21" si="0">IF($F$16&lt;&gt;"",StockPrice*(u^(AG16-$G$15))*(d^($G$13-AG16+$G$15)),"")</f>
        <v>63.289868802272728</v>
      </c>
      <c r="H16" s="179">
        <f t="shared" ref="H16:H22" si="1">IF($G$16&lt;&gt;"",StockPrice*(u^(AG16-$H$15))*(d^($H$13-AG16+$H$15)),"")</f>
        <v>66.344822057267137</v>
      </c>
      <c r="I16" s="179">
        <f t="shared" ref="I16:I23" si="2">IF($H$16&lt;&gt;"",StockPrice*(u^(AG16-$I$15))*(d^($I$13-AG16+$I$15)),"")</f>
        <v>69.547235554584987</v>
      </c>
      <c r="J16" s="179">
        <f t="shared" ref="J16:J24" si="3">IF($I$16&lt;&gt;"",StockPrice*(u^(AG16-$J$15))*(d^($J$13-AG16+$J$15)),"")</f>
        <v>72.904227086627984</v>
      </c>
      <c r="K16" s="179">
        <f t="shared" ref="K16:K25" si="4">IF($J$16&lt;&gt;"",StockPrice*(u^(AG16-$K$15))*(d^($K$13-AG16+$K$15)),"")</f>
        <v>76.423258016158812</v>
      </c>
      <c r="L16" s="179">
        <f t="shared" ref="L16:L26" si="5">IF($K$16&lt;&gt;"",StockPrice*(u^(AG16-$L$15))*(d^($L$13-AG16+$L$15)),"")</f>
        <v>80.112149860177894</v>
      </c>
      <c r="M16" s="179">
        <f t="shared" ref="M16:M27" si="6">IF($L$16&lt;&gt;"",StockPrice*(u^(AG16-$M$15))*(d^($M$13-AG16+$M$15)),"")</f>
        <v>83.979101674291343</v>
      </c>
      <c r="N16" s="179">
        <f t="shared" ref="N16:N28" si="7">IF($M$16&lt;&gt;"",StockPrice*(u^(AG16-$N$15))*(d^($N$13-AG16+$N$15)),"")</f>
        <v>88.032708276208808</v>
      </c>
      <c r="O16" s="179">
        <f t="shared" ref="O16:O29" si="8">IF($N$16&lt;&gt;"",StockPrice*(u^(AG16-$O$15))*(d^($O$13-AG16+$O$15)),"")</f>
        <v>92.281979348875652</v>
      </c>
      <c r="P16" s="179">
        <f t="shared" ref="P16:P30" si="9">IF($O$16&lt;&gt;"",StockPrice*(u^(AG16-$P$15))*(d^($P$13-AG16+$P$15)),"")</f>
        <v>96.73635946569857</v>
      </c>
      <c r="Q16" s="179">
        <f t="shared" ref="Q16:Q31" si="10">IF($P$16&lt;&gt;"",StockPrice*(u^(AG16-$Q$15))*(d^($Q$13-AG16+$Q$15)),"")</f>
        <v>101.40574908237343</v>
      </c>
      <c r="R16" s="179">
        <f t="shared" ref="R16:R32" si="11">IF($Q$16&lt;&gt;"",StockPrice*(u^(AG16-$R$15))*(d^($R$13-AG16+$R$15)),"")</f>
        <v>106.30052654197242</v>
      </c>
      <c r="S16" s="179">
        <f t="shared" ref="S16:S33" si="12">IF($R$16&lt;&gt;"",StockPrice*(u^(AG16-$S$15))*(d^($S$13-AG16+$S$15)),"")</f>
        <v>111.43157114220008</v>
      </c>
      <c r="T16" s="179">
        <f t="shared" ref="T16:T34" si="13">IF($S$16&lt;&gt;"",StockPrice*(u^(AG16-$T$15))*(d^($T$13-AG16+$T$15)),"")</f>
        <v>116.81028731608762</v>
      </c>
      <c r="U16" s="179">
        <f t="shared" ref="U16:U35" si="14">IF($T$16&lt;&gt;"",StockPrice*(u^(AG16-$U$15))*(d^($U$13-AG16+$U$15)),"")</f>
        <v>122.44862997987111</v>
      </c>
      <c r="V16" s="179">
        <f t="shared" ref="V16:V36" si="15">IF($U$16&lt;&gt;"",StockPrice*(u^(AG16-$V$15))*(d^($V$13-AG16+$V$15)),"")</f>
        <v>128.35913110439202</v>
      </c>
      <c r="W16" s="179">
        <f t="shared" ref="W16:W37" si="16">IF($V$16&lt;&gt;"",StockPrice*(u^(AG16-$W$15))*(d^($W$13-AG16+$W$15)),"")</f>
        <v>134.5549275690789</v>
      </c>
      <c r="X16" s="179">
        <f t="shared" ref="X16:X38" si="17">IF($W$16&lt;&gt;"",StockPrice*(u^(AG16-$X$15))*(d^($X$13-AG16+$X$15)),"")</f>
        <v>141.04979036041925</v>
      </c>
      <c r="Y16" s="179">
        <f t="shared" ref="Y16:Y39" si="18">IF($X$16&lt;&gt;"",StockPrice*(u^(AG16-$Y$15))*(d^($Y$13-AG16+$Y$15)),"")</f>
        <v>147.85815517981936</v>
      </c>
      <c r="Z16" s="179">
        <f t="shared" ref="Z16:Z40" si="19">IF($Y$16&lt;&gt;"",StockPrice*(u^(AG16-$Z$15))*(d^($Z$13-AG16+$Z$15)),"")</f>
        <v>154.99515452888164</v>
      </c>
      <c r="AA16" s="179">
        <f t="shared" ref="AA16:AA41" si="20">IF($Z$16&lt;&gt;"",StockPrice*(u^(AG16-$AA$15))*(d^($AA$13-AG16+$AA$15)),"")</f>
        <v>162.47665134341392</v>
      </c>
      <c r="AB16" s="179">
        <f t="shared" ref="AB16:AB42" si="21">IF($AA$16&lt;&gt;"",StockPrice*(u^(AG16-$AB$15))*(d^($AB$13-AG16+$AB$15)),"")</f>
        <v>170.31927425092624</v>
      </c>
      <c r="AC16" s="179">
        <f t="shared" ref="AC16:AC43" si="22">IF($AB$16&lt;&gt;"",StockPrice*(u^(AG16-$AC$15))*(d^($AC$13-AG16+$AC$15)),"")</f>
        <v>178.54045452998014</v>
      </c>
      <c r="AD16" s="179">
        <f t="shared" ref="AD16:AD44" si="23">IF($AC$16&lt;&gt;"",StockPrice*(u^(AG16-$AD$15))*(d^($AD$13-AG16+$AD$15)),"")</f>
        <v>187.15846485353697</v>
      </c>
      <c r="AE16" s="179">
        <f t="shared" ref="AE16:AE45" si="24">IF($AD$16&lt;&gt;"",StockPrice*(u^(AG16-$AE$15))*(d^($AE$13-AG16+$AE$15)),"")</f>
        <v>196.19245990241814</v>
      </c>
      <c r="AF16" s="179">
        <f t="shared" ref="AF16:AF46" si="25">IF($AE$16&lt;&gt;"",StockPrice*(u^(AG16-$AF$15))*(d^($AF$13-AG16+$AF$15)),"")</f>
        <v>205.66251893914554</v>
      </c>
      <c r="AG16" s="180">
        <v>30</v>
      </c>
    </row>
    <row r="17" spans="2:33" x14ac:dyDescent="0.2">
      <c r="B17" s="181"/>
      <c r="C17" s="179">
        <f>IF(B16&lt;&gt;"",StockPrice*(u^(AG17-C15))*(d^($C$13-AG17+C15)),"")</f>
        <v>47.697670172091605</v>
      </c>
      <c r="D17" s="179">
        <f>IF(C17&lt;&gt;"",StockPrice*(u^(AG17-$D$15))*(d^($D$13-AG17+$D$15)),"")</f>
        <v>50</v>
      </c>
      <c r="E17" s="179">
        <f>IF($D$16&lt;&gt;"",StockPrice*(u^(AG17-$E$15))*(d^($E$13-AG17+$E$15)),"")</f>
        <v>52.413461516675397</v>
      </c>
      <c r="F17" s="179">
        <f>IF($E$16&lt;&gt;"",StockPrice*(u^(AG17-$F$15))*(d^($F$13-AG17+$F$15)),"")</f>
        <v>54.943418963200266</v>
      </c>
      <c r="G17" s="179">
        <f t="shared" si="0"/>
        <v>57.595495508445417</v>
      </c>
      <c r="H17" s="179">
        <f t="shared" si="1"/>
        <v>60.3755857473151</v>
      </c>
      <c r="I17" s="179">
        <f t="shared" si="2"/>
        <v>63.289868802272721</v>
      </c>
      <c r="J17" s="179">
        <f t="shared" si="3"/>
        <v>66.344822057267137</v>
      </c>
      <c r="K17" s="179">
        <f t="shared" si="4"/>
        <v>69.547235554584972</v>
      </c>
      <c r="L17" s="179">
        <f t="shared" si="5"/>
        <v>72.904227086627969</v>
      </c>
      <c r="M17" s="179">
        <f t="shared" si="6"/>
        <v>76.423258016158798</v>
      </c>
      <c r="N17" s="179">
        <f t="shared" si="7"/>
        <v>80.112149860177894</v>
      </c>
      <c r="O17" s="179">
        <f t="shared" si="8"/>
        <v>83.979101674291329</v>
      </c>
      <c r="P17" s="179">
        <f t="shared" si="9"/>
        <v>88.032708276208794</v>
      </c>
      <c r="Q17" s="179">
        <f t="shared" si="10"/>
        <v>92.281979348875637</v>
      </c>
      <c r="R17" s="179">
        <f t="shared" si="11"/>
        <v>96.736359465698584</v>
      </c>
      <c r="S17" s="179">
        <f t="shared" si="12"/>
        <v>101.40574908237339</v>
      </c>
      <c r="T17" s="179">
        <f t="shared" si="13"/>
        <v>106.30052654197242</v>
      </c>
      <c r="U17" s="179">
        <f t="shared" si="14"/>
        <v>111.43157114220006</v>
      </c>
      <c r="V17" s="179">
        <f t="shared" si="15"/>
        <v>116.81028731608761</v>
      </c>
      <c r="W17" s="179">
        <f t="shared" si="16"/>
        <v>122.4486299798711</v>
      </c>
      <c r="X17" s="179">
        <f t="shared" si="17"/>
        <v>128.35913110439202</v>
      </c>
      <c r="Y17" s="179">
        <f t="shared" si="18"/>
        <v>134.55492756907887</v>
      </c>
      <c r="Z17" s="179">
        <f t="shared" si="19"/>
        <v>141.04979036041925</v>
      </c>
      <c r="AA17" s="179">
        <f t="shared" si="20"/>
        <v>147.85815517981933</v>
      </c>
      <c r="AB17" s="179">
        <f t="shared" si="21"/>
        <v>154.99515452888164</v>
      </c>
      <c r="AC17" s="179">
        <f t="shared" si="22"/>
        <v>162.47665134341389</v>
      </c>
      <c r="AD17" s="179">
        <f t="shared" si="23"/>
        <v>170.31927425092621</v>
      </c>
      <c r="AE17" s="179">
        <f t="shared" si="24"/>
        <v>178.54045452998011</v>
      </c>
      <c r="AF17" s="179">
        <f t="shared" si="25"/>
        <v>187.15846485353697</v>
      </c>
      <c r="AG17" s="180">
        <v>29</v>
      </c>
    </row>
    <row r="18" spans="2:33" x14ac:dyDescent="0.2">
      <c r="B18" s="181"/>
      <c r="C18" s="182"/>
      <c r="D18" s="179">
        <f>IF(C17&lt;&gt;"",StockPrice*(u^(AG18-$D$15))*(d^($D$13-AG18+$D$15)),"")</f>
        <v>45.501354796912743</v>
      </c>
      <c r="E18" s="179">
        <f>IF($D$16&lt;&gt;"",StockPrice*(u^(AG18-$E$15))*(d^($E$13-AG18+$E$15)),"")</f>
        <v>47.697670172091605</v>
      </c>
      <c r="F18" s="179">
        <f>IF($E$16&lt;&gt;"",StockPrice*(u^(AG18-$F$15))*(d^($F$13-AG18+$F$15)),"")</f>
        <v>49.999999999999993</v>
      </c>
      <c r="G18" s="179">
        <f t="shared" si="0"/>
        <v>52.413461516675397</v>
      </c>
      <c r="H18" s="179">
        <f t="shared" si="1"/>
        <v>54.943418963200259</v>
      </c>
      <c r="I18" s="179">
        <f t="shared" si="2"/>
        <v>57.59549550844541</v>
      </c>
      <c r="J18" s="179">
        <f t="shared" si="3"/>
        <v>60.375585747315093</v>
      </c>
      <c r="K18" s="179">
        <f t="shared" si="4"/>
        <v>63.289868802272728</v>
      </c>
      <c r="L18" s="179">
        <f t="shared" si="5"/>
        <v>66.344822057267123</v>
      </c>
      <c r="M18" s="179">
        <f t="shared" si="6"/>
        <v>69.547235554584958</v>
      </c>
      <c r="N18" s="179">
        <f t="shared" si="7"/>
        <v>72.904227086627969</v>
      </c>
      <c r="O18" s="179">
        <f t="shared" si="8"/>
        <v>76.423258016158798</v>
      </c>
      <c r="P18" s="179">
        <f t="shared" si="9"/>
        <v>80.11214986017788</v>
      </c>
      <c r="Q18" s="179">
        <f t="shared" si="10"/>
        <v>83.979101674291329</v>
      </c>
      <c r="R18" s="179">
        <f t="shared" si="11"/>
        <v>88.032708276208794</v>
      </c>
      <c r="S18" s="179">
        <f t="shared" si="12"/>
        <v>92.281979348875652</v>
      </c>
      <c r="T18" s="179">
        <f t="shared" si="13"/>
        <v>96.736359465698541</v>
      </c>
      <c r="U18" s="179">
        <f t="shared" si="14"/>
        <v>101.40574908237339</v>
      </c>
      <c r="V18" s="179">
        <f t="shared" si="15"/>
        <v>106.30052654197239</v>
      </c>
      <c r="W18" s="179">
        <f t="shared" si="16"/>
        <v>111.43157114220006</v>
      </c>
      <c r="X18" s="179">
        <f t="shared" si="17"/>
        <v>116.8102873160876</v>
      </c>
      <c r="Y18" s="179">
        <f t="shared" si="18"/>
        <v>122.4486299798711</v>
      </c>
      <c r="Z18" s="179">
        <f t="shared" si="19"/>
        <v>128.35913110439199</v>
      </c>
      <c r="AA18" s="179">
        <f t="shared" si="20"/>
        <v>134.55492756907887</v>
      </c>
      <c r="AB18" s="179">
        <f t="shared" si="21"/>
        <v>141.04979036041922</v>
      </c>
      <c r="AC18" s="179">
        <f t="shared" si="22"/>
        <v>147.85815517981933</v>
      </c>
      <c r="AD18" s="179">
        <f t="shared" si="23"/>
        <v>154.99515452888161</v>
      </c>
      <c r="AE18" s="179">
        <f t="shared" si="24"/>
        <v>162.47665134341386</v>
      </c>
      <c r="AF18" s="179">
        <f t="shared" si="25"/>
        <v>170.31927425092621</v>
      </c>
      <c r="AG18" s="180">
        <v>28</v>
      </c>
    </row>
    <row r="19" spans="2:33" x14ac:dyDescent="0.2">
      <c r="B19" s="181"/>
      <c r="C19" s="182"/>
      <c r="D19" s="182"/>
      <c r="E19" s="179">
        <f>IF($D$16&lt;&gt;"",StockPrice*(u^(AG19-$E$15))*(d^($E$13-AG19+$E$15)),"")</f>
        <v>43.406172269729247</v>
      </c>
      <c r="F19" s="179">
        <f>IF($E$16&lt;&gt;"",StockPrice*(u^(AG19-$F$15))*(d^($F$13-AG19+$F$15)),"")</f>
        <v>45.50135479691275</v>
      </c>
      <c r="G19" s="179">
        <f t="shared" si="0"/>
        <v>47.697670172091598</v>
      </c>
      <c r="H19" s="179">
        <f t="shared" si="1"/>
        <v>49.999999999999986</v>
      </c>
      <c r="I19" s="179">
        <f t="shared" si="2"/>
        <v>52.41346151667539</v>
      </c>
      <c r="J19" s="179">
        <f t="shared" si="3"/>
        <v>54.943418963200259</v>
      </c>
      <c r="K19" s="179">
        <f t="shared" si="4"/>
        <v>57.595495508445403</v>
      </c>
      <c r="L19" s="179">
        <f t="shared" si="5"/>
        <v>60.3755857473151</v>
      </c>
      <c r="M19" s="179">
        <f t="shared" si="6"/>
        <v>63.289868802272714</v>
      </c>
      <c r="N19" s="179">
        <f t="shared" si="7"/>
        <v>66.344822057267123</v>
      </c>
      <c r="O19" s="179">
        <f t="shared" si="8"/>
        <v>69.547235554584958</v>
      </c>
      <c r="P19" s="179">
        <f t="shared" si="9"/>
        <v>72.904227086627955</v>
      </c>
      <c r="Q19" s="179">
        <f t="shared" si="10"/>
        <v>76.423258016158783</v>
      </c>
      <c r="R19" s="179">
        <f t="shared" si="11"/>
        <v>80.112149860177865</v>
      </c>
      <c r="S19" s="179">
        <f t="shared" si="12"/>
        <v>83.979101674291314</v>
      </c>
      <c r="T19" s="179">
        <f t="shared" si="13"/>
        <v>88.032708276208794</v>
      </c>
      <c r="U19" s="179">
        <f t="shared" si="14"/>
        <v>92.281979348875623</v>
      </c>
      <c r="V19" s="179">
        <f t="shared" si="15"/>
        <v>96.736359465698541</v>
      </c>
      <c r="W19" s="179">
        <f t="shared" si="16"/>
        <v>101.40574908237338</v>
      </c>
      <c r="X19" s="179">
        <f t="shared" si="17"/>
        <v>106.30052654197239</v>
      </c>
      <c r="Y19" s="179">
        <f t="shared" si="18"/>
        <v>111.43157114220004</v>
      </c>
      <c r="Z19" s="179">
        <f t="shared" si="19"/>
        <v>116.8102873160876</v>
      </c>
      <c r="AA19" s="179">
        <f t="shared" si="20"/>
        <v>122.44862997987109</v>
      </c>
      <c r="AB19" s="179">
        <f t="shared" si="21"/>
        <v>128.35913110439199</v>
      </c>
      <c r="AC19" s="179">
        <f t="shared" si="22"/>
        <v>134.55492756907884</v>
      </c>
      <c r="AD19" s="179">
        <f t="shared" si="23"/>
        <v>141.04979036041922</v>
      </c>
      <c r="AE19" s="179">
        <f t="shared" si="24"/>
        <v>147.85815517981931</v>
      </c>
      <c r="AF19" s="179">
        <f t="shared" si="25"/>
        <v>154.99515452888159</v>
      </c>
      <c r="AG19" s="180">
        <v>27</v>
      </c>
    </row>
    <row r="20" spans="2:33" x14ac:dyDescent="0.2">
      <c r="B20" s="181"/>
      <c r="C20" s="182"/>
      <c r="D20" s="182"/>
      <c r="E20" s="182"/>
      <c r="F20" s="179">
        <f>IF($E$16&lt;&gt;"",StockPrice*(u^(AG20-$F$15))*(d^($F$13-AG20+$F$15)),"")</f>
        <v>41.407465767090692</v>
      </c>
      <c r="G20" s="179">
        <f t="shared" si="0"/>
        <v>43.406172269729247</v>
      </c>
      <c r="H20" s="179">
        <f t="shared" si="1"/>
        <v>45.501354796912736</v>
      </c>
      <c r="I20" s="179">
        <f t="shared" si="2"/>
        <v>47.697670172091591</v>
      </c>
      <c r="J20" s="179">
        <f t="shared" si="3"/>
        <v>49.999999999999979</v>
      </c>
      <c r="K20" s="179">
        <f t="shared" si="4"/>
        <v>52.413461516675383</v>
      </c>
      <c r="L20" s="179">
        <f t="shared" si="5"/>
        <v>54.943418963200244</v>
      </c>
      <c r="M20" s="179">
        <f t="shared" si="6"/>
        <v>57.595495508445403</v>
      </c>
      <c r="N20" s="179">
        <f t="shared" si="7"/>
        <v>60.375585747315078</v>
      </c>
      <c r="O20" s="179">
        <f t="shared" si="8"/>
        <v>63.2898688022727</v>
      </c>
      <c r="P20" s="179">
        <f t="shared" si="9"/>
        <v>66.344822057267109</v>
      </c>
      <c r="Q20" s="179">
        <f t="shared" si="10"/>
        <v>69.547235554584944</v>
      </c>
      <c r="R20" s="179">
        <f t="shared" si="11"/>
        <v>72.904227086627955</v>
      </c>
      <c r="S20" s="179">
        <f t="shared" si="12"/>
        <v>76.423258016158769</v>
      </c>
      <c r="T20" s="179">
        <f t="shared" si="13"/>
        <v>80.112149860177865</v>
      </c>
      <c r="U20" s="179">
        <f t="shared" si="14"/>
        <v>83.979101674291314</v>
      </c>
      <c r="V20" s="179">
        <f t="shared" si="15"/>
        <v>88.032708276208766</v>
      </c>
      <c r="W20" s="179">
        <f t="shared" si="16"/>
        <v>92.281979348875609</v>
      </c>
      <c r="X20" s="179">
        <f t="shared" si="17"/>
        <v>96.736359465698527</v>
      </c>
      <c r="Y20" s="179">
        <f t="shared" si="18"/>
        <v>101.40574908237336</v>
      </c>
      <c r="Z20" s="179">
        <f t="shared" si="19"/>
        <v>106.30052654197236</v>
      </c>
      <c r="AA20" s="179">
        <f t="shared" si="20"/>
        <v>111.43157114220004</v>
      </c>
      <c r="AB20" s="179">
        <f t="shared" si="21"/>
        <v>116.81028731608757</v>
      </c>
      <c r="AC20" s="179">
        <f t="shared" si="22"/>
        <v>122.44862997987106</v>
      </c>
      <c r="AD20" s="179">
        <f t="shared" si="23"/>
        <v>128.35913110439196</v>
      </c>
      <c r="AE20" s="179">
        <f t="shared" si="24"/>
        <v>134.55492756907884</v>
      </c>
      <c r="AF20" s="179">
        <f t="shared" si="25"/>
        <v>141.04979036041919</v>
      </c>
      <c r="AG20" s="180">
        <v>26</v>
      </c>
    </row>
    <row r="21" spans="2:33" x14ac:dyDescent="0.2">
      <c r="B21" s="181"/>
      <c r="C21" s="182"/>
      <c r="D21" s="182"/>
      <c r="E21" s="182"/>
      <c r="F21" s="182"/>
      <c r="G21" s="179">
        <f t="shared" si="0"/>
        <v>39.500792896417316</v>
      </c>
      <c r="H21" s="179">
        <f t="shared" si="1"/>
        <v>41.407465767090692</v>
      </c>
      <c r="I21" s="179">
        <f t="shared" si="2"/>
        <v>43.40617226972924</v>
      </c>
      <c r="J21" s="179">
        <f t="shared" si="3"/>
        <v>45.501354796912736</v>
      </c>
      <c r="K21" s="179">
        <f t="shared" si="4"/>
        <v>47.697670172091584</v>
      </c>
      <c r="L21" s="179">
        <f t="shared" si="5"/>
        <v>49.999999999999972</v>
      </c>
      <c r="M21" s="179">
        <f t="shared" si="6"/>
        <v>52.413461516675376</v>
      </c>
      <c r="N21" s="179">
        <f t="shared" si="7"/>
        <v>54.943418963200251</v>
      </c>
      <c r="O21" s="179">
        <f t="shared" si="8"/>
        <v>57.595495508445396</v>
      </c>
      <c r="P21" s="179">
        <f t="shared" si="9"/>
        <v>60.375585747315078</v>
      </c>
      <c r="Q21" s="179">
        <f t="shared" si="10"/>
        <v>63.289868802272693</v>
      </c>
      <c r="R21" s="179">
        <f t="shared" si="11"/>
        <v>66.344822057267109</v>
      </c>
      <c r="S21" s="179">
        <f t="shared" si="12"/>
        <v>69.547235554584944</v>
      </c>
      <c r="T21" s="179">
        <f t="shared" si="13"/>
        <v>72.904227086627941</v>
      </c>
      <c r="U21" s="179">
        <f t="shared" si="14"/>
        <v>76.423258016158769</v>
      </c>
      <c r="V21" s="179">
        <f t="shared" si="15"/>
        <v>80.112149860177865</v>
      </c>
      <c r="W21" s="179">
        <f t="shared" si="16"/>
        <v>83.9791016742913</v>
      </c>
      <c r="X21" s="179">
        <f t="shared" si="17"/>
        <v>88.032708276208766</v>
      </c>
      <c r="Y21" s="179">
        <f t="shared" si="18"/>
        <v>92.281979348875609</v>
      </c>
      <c r="Z21" s="179">
        <f t="shared" si="19"/>
        <v>96.736359465698513</v>
      </c>
      <c r="AA21" s="179">
        <f t="shared" si="20"/>
        <v>101.40574908237335</v>
      </c>
      <c r="AB21" s="179">
        <f t="shared" si="21"/>
        <v>106.30052654197237</v>
      </c>
      <c r="AC21" s="179">
        <f t="shared" si="22"/>
        <v>111.43157114220001</v>
      </c>
      <c r="AD21" s="179">
        <f t="shared" si="23"/>
        <v>116.81028731608757</v>
      </c>
      <c r="AE21" s="179">
        <f t="shared" si="24"/>
        <v>122.44862997987106</v>
      </c>
      <c r="AF21" s="179">
        <f t="shared" si="25"/>
        <v>128.35913110439196</v>
      </c>
      <c r="AG21" s="180">
        <v>25</v>
      </c>
    </row>
    <row r="22" spans="2:33" x14ac:dyDescent="0.2">
      <c r="B22" s="181"/>
      <c r="C22" s="182"/>
      <c r="D22" s="182"/>
      <c r="E22" s="182"/>
      <c r="F22" s="182"/>
      <c r="G22" s="182"/>
      <c r="H22" s="179">
        <f t="shared" si="1"/>
        <v>37.681915822188245</v>
      </c>
      <c r="I22" s="179">
        <f t="shared" si="2"/>
        <v>39.500792896417316</v>
      </c>
      <c r="J22" s="179">
        <f t="shared" si="3"/>
        <v>41.407465767090677</v>
      </c>
      <c r="K22" s="179">
        <f t="shared" si="4"/>
        <v>43.406172269729232</v>
      </c>
      <c r="L22" s="179">
        <f t="shared" si="5"/>
        <v>45.501354796912722</v>
      </c>
      <c r="M22" s="179">
        <f t="shared" si="6"/>
        <v>47.697670172091577</v>
      </c>
      <c r="N22" s="179">
        <f t="shared" si="7"/>
        <v>49.999999999999964</v>
      </c>
      <c r="O22" s="179">
        <f t="shared" si="8"/>
        <v>52.413461516675376</v>
      </c>
      <c r="P22" s="179">
        <f t="shared" si="9"/>
        <v>54.943418963200237</v>
      </c>
      <c r="Q22" s="179">
        <f t="shared" si="10"/>
        <v>57.595495508445389</v>
      </c>
      <c r="R22" s="179">
        <f t="shared" si="11"/>
        <v>60.375585747315064</v>
      </c>
      <c r="S22" s="179">
        <f t="shared" si="12"/>
        <v>63.289868802272686</v>
      </c>
      <c r="T22" s="179">
        <f t="shared" si="13"/>
        <v>66.344822057267095</v>
      </c>
      <c r="U22" s="179">
        <f t="shared" si="14"/>
        <v>69.54723555458493</v>
      </c>
      <c r="V22" s="179">
        <f t="shared" si="15"/>
        <v>72.904227086627927</v>
      </c>
      <c r="W22" s="179">
        <f t="shared" si="16"/>
        <v>76.423258016158769</v>
      </c>
      <c r="X22" s="179">
        <f t="shared" si="17"/>
        <v>80.112149860177837</v>
      </c>
      <c r="Y22" s="179">
        <f t="shared" si="18"/>
        <v>83.979101674291286</v>
      </c>
      <c r="Z22" s="179">
        <f t="shared" si="19"/>
        <v>88.032708276208737</v>
      </c>
      <c r="AA22" s="179">
        <f t="shared" si="20"/>
        <v>92.281979348875581</v>
      </c>
      <c r="AB22" s="179">
        <f t="shared" si="21"/>
        <v>96.736359465698499</v>
      </c>
      <c r="AC22" s="179">
        <f t="shared" si="22"/>
        <v>101.40574908237335</v>
      </c>
      <c r="AD22" s="179">
        <f t="shared" si="23"/>
        <v>106.30052654197235</v>
      </c>
      <c r="AE22" s="179">
        <f t="shared" si="24"/>
        <v>111.4315711422</v>
      </c>
      <c r="AF22" s="179">
        <f t="shared" si="25"/>
        <v>116.81028731608754</v>
      </c>
      <c r="AG22" s="180">
        <v>24</v>
      </c>
    </row>
    <row r="23" spans="2:33" x14ac:dyDescent="0.2">
      <c r="B23" s="181"/>
      <c r="C23" s="182"/>
      <c r="D23" s="182"/>
      <c r="E23" s="182"/>
      <c r="F23" s="182"/>
      <c r="G23" s="182"/>
      <c r="H23" s="182"/>
      <c r="I23" s="179">
        <f t="shared" si="2"/>
        <v>35.946791846785104</v>
      </c>
      <c r="J23" s="179">
        <f t="shared" si="3"/>
        <v>37.681915822188252</v>
      </c>
      <c r="K23" s="179">
        <f t="shared" si="4"/>
        <v>39.500792896417309</v>
      </c>
      <c r="L23" s="179">
        <f t="shared" si="5"/>
        <v>41.407465767090677</v>
      </c>
      <c r="M23" s="179">
        <f t="shared" si="6"/>
        <v>43.406172269729232</v>
      </c>
      <c r="N23" s="179">
        <f t="shared" si="7"/>
        <v>45.501354796912722</v>
      </c>
      <c r="O23" s="179">
        <f t="shared" si="8"/>
        <v>47.697670172091577</v>
      </c>
      <c r="P23" s="179">
        <f t="shared" si="9"/>
        <v>49.999999999999972</v>
      </c>
      <c r="Q23" s="179">
        <f t="shared" si="10"/>
        <v>52.413461516675369</v>
      </c>
      <c r="R23" s="179">
        <f t="shared" si="11"/>
        <v>54.943418963200237</v>
      </c>
      <c r="S23" s="179">
        <f t="shared" si="12"/>
        <v>57.595495508445381</v>
      </c>
      <c r="T23" s="179">
        <f t="shared" si="13"/>
        <v>60.375585747315064</v>
      </c>
      <c r="U23" s="179">
        <f t="shared" si="14"/>
        <v>63.289868802272686</v>
      </c>
      <c r="V23" s="179">
        <f t="shared" si="15"/>
        <v>66.344822057267095</v>
      </c>
      <c r="W23" s="179">
        <f t="shared" si="16"/>
        <v>69.54723555458493</v>
      </c>
      <c r="X23" s="179">
        <f t="shared" si="17"/>
        <v>72.904227086627941</v>
      </c>
      <c r="Y23" s="179">
        <f t="shared" si="18"/>
        <v>76.423258016158755</v>
      </c>
      <c r="Z23" s="179">
        <f t="shared" si="19"/>
        <v>80.112149860177837</v>
      </c>
      <c r="AA23" s="179">
        <f t="shared" si="20"/>
        <v>83.979101674291286</v>
      </c>
      <c r="AB23" s="179">
        <f t="shared" si="21"/>
        <v>88.032708276208737</v>
      </c>
      <c r="AC23" s="179">
        <f t="shared" si="22"/>
        <v>92.281979348875581</v>
      </c>
      <c r="AD23" s="179">
        <f t="shared" si="23"/>
        <v>96.736359465698513</v>
      </c>
      <c r="AE23" s="179">
        <f t="shared" si="24"/>
        <v>101.40574908237333</v>
      </c>
      <c r="AF23" s="179">
        <f t="shared" si="25"/>
        <v>106.30052654197235</v>
      </c>
      <c r="AG23" s="180">
        <v>23</v>
      </c>
    </row>
    <row r="24" spans="2:33" x14ac:dyDescent="0.2">
      <c r="B24" s="181"/>
      <c r="C24" s="182"/>
      <c r="D24" s="182"/>
      <c r="E24" s="182"/>
      <c r="F24" s="182"/>
      <c r="G24" s="182"/>
      <c r="H24" s="182"/>
      <c r="I24" s="182"/>
      <c r="J24" s="179">
        <f t="shared" si="3"/>
        <v>34.291564425055746</v>
      </c>
      <c r="K24" s="179">
        <f t="shared" si="4"/>
        <v>35.946791846785104</v>
      </c>
      <c r="L24" s="179">
        <f t="shared" si="5"/>
        <v>37.681915822188238</v>
      </c>
      <c r="M24" s="179">
        <f t="shared" si="6"/>
        <v>39.500792896417302</v>
      </c>
      <c r="N24" s="179">
        <f t="shared" si="7"/>
        <v>41.40746576709067</v>
      </c>
      <c r="O24" s="179">
        <f t="shared" si="8"/>
        <v>43.406172269729225</v>
      </c>
      <c r="P24" s="179">
        <f t="shared" si="9"/>
        <v>45.501354796912715</v>
      </c>
      <c r="Q24" s="179">
        <f t="shared" si="10"/>
        <v>47.697670172091577</v>
      </c>
      <c r="R24" s="179">
        <f t="shared" si="11"/>
        <v>49.999999999999957</v>
      </c>
      <c r="S24" s="179">
        <f t="shared" si="12"/>
        <v>52.413461516675362</v>
      </c>
      <c r="T24" s="179">
        <f t="shared" si="13"/>
        <v>54.943418963200223</v>
      </c>
      <c r="U24" s="179">
        <f t="shared" si="14"/>
        <v>57.595495508445374</v>
      </c>
      <c r="V24" s="179">
        <f t="shared" si="15"/>
        <v>60.375585747315057</v>
      </c>
      <c r="W24" s="179">
        <f t="shared" si="16"/>
        <v>63.289868802272672</v>
      </c>
      <c r="X24" s="179">
        <f t="shared" si="17"/>
        <v>66.344822057267081</v>
      </c>
      <c r="Y24" s="179">
        <f t="shared" si="18"/>
        <v>69.54723555458493</v>
      </c>
      <c r="Z24" s="179">
        <f t="shared" si="19"/>
        <v>72.904227086627913</v>
      </c>
      <c r="AA24" s="179">
        <f t="shared" si="20"/>
        <v>76.423258016158741</v>
      </c>
      <c r="AB24" s="179">
        <f t="shared" si="21"/>
        <v>80.112149860177823</v>
      </c>
      <c r="AC24" s="179">
        <f t="shared" si="22"/>
        <v>83.979101674291257</v>
      </c>
      <c r="AD24" s="179">
        <f t="shared" si="23"/>
        <v>88.032708276208723</v>
      </c>
      <c r="AE24" s="179">
        <f t="shared" si="24"/>
        <v>92.281979348875581</v>
      </c>
      <c r="AF24" s="179">
        <f t="shared" si="25"/>
        <v>96.736359465698484</v>
      </c>
      <c r="AG24" s="180">
        <v>22</v>
      </c>
    </row>
    <row r="25" spans="2:33" x14ac:dyDescent="0.2">
      <c r="B25" s="181"/>
      <c r="C25" s="182"/>
      <c r="D25" s="182"/>
      <c r="E25" s="182"/>
      <c r="F25" s="182"/>
      <c r="G25" s="182"/>
      <c r="H25" s="182"/>
      <c r="I25" s="182"/>
      <c r="J25" s="182"/>
      <c r="K25" s="179">
        <f t="shared" si="4"/>
        <v>32.712554592626788</v>
      </c>
      <c r="L25" s="179">
        <f t="shared" si="5"/>
        <v>34.291564425055753</v>
      </c>
      <c r="M25" s="179">
        <f t="shared" si="6"/>
        <v>35.946791846785096</v>
      </c>
      <c r="N25" s="179">
        <f t="shared" si="7"/>
        <v>37.681915822188238</v>
      </c>
      <c r="O25" s="179">
        <f t="shared" si="8"/>
        <v>39.500792896417302</v>
      </c>
      <c r="P25" s="179">
        <f t="shared" si="9"/>
        <v>41.40746576709067</v>
      </c>
      <c r="Q25" s="179">
        <f t="shared" si="10"/>
        <v>43.406172269729218</v>
      </c>
      <c r="R25" s="179">
        <f t="shared" si="11"/>
        <v>45.501354796912722</v>
      </c>
      <c r="S25" s="179">
        <f t="shared" si="12"/>
        <v>47.69767017209157</v>
      </c>
      <c r="T25" s="179">
        <f t="shared" si="13"/>
        <v>49.999999999999957</v>
      </c>
      <c r="U25" s="179">
        <f t="shared" si="14"/>
        <v>52.413461516675355</v>
      </c>
      <c r="V25" s="179">
        <f t="shared" si="15"/>
        <v>54.943418963200223</v>
      </c>
      <c r="W25" s="179">
        <f t="shared" si="16"/>
        <v>57.595495508445367</v>
      </c>
      <c r="X25" s="179">
        <f t="shared" si="17"/>
        <v>60.37558574731505</v>
      </c>
      <c r="Y25" s="179">
        <f t="shared" si="18"/>
        <v>63.289868802272665</v>
      </c>
      <c r="Z25" s="179">
        <f t="shared" si="19"/>
        <v>66.344822057267095</v>
      </c>
      <c r="AA25" s="179">
        <f t="shared" si="20"/>
        <v>69.547235554584901</v>
      </c>
      <c r="AB25" s="179">
        <f t="shared" si="21"/>
        <v>72.904227086627913</v>
      </c>
      <c r="AC25" s="179">
        <f t="shared" si="22"/>
        <v>76.423258016158726</v>
      </c>
      <c r="AD25" s="179">
        <f t="shared" si="23"/>
        <v>80.112149860177809</v>
      </c>
      <c r="AE25" s="179">
        <f t="shared" si="24"/>
        <v>83.979101674291257</v>
      </c>
      <c r="AF25" s="179">
        <f t="shared" si="25"/>
        <v>88.032708276208723</v>
      </c>
      <c r="AG25" s="180">
        <v>21</v>
      </c>
    </row>
    <row r="26" spans="2:33" x14ac:dyDescent="0.2">
      <c r="B26" s="181"/>
      <c r="C26" s="182"/>
      <c r="D26" s="182"/>
      <c r="E26" s="182"/>
      <c r="F26" s="182"/>
      <c r="G26" s="182"/>
      <c r="H26" s="182"/>
      <c r="I26" s="182"/>
      <c r="J26" s="182"/>
      <c r="K26" s="182"/>
      <c r="L26" s="179">
        <f t="shared" si="5"/>
        <v>31.206252788913059</v>
      </c>
      <c r="M26" s="179">
        <f t="shared" si="6"/>
        <v>32.712554592626788</v>
      </c>
      <c r="N26" s="179">
        <f t="shared" si="7"/>
        <v>34.291564425055739</v>
      </c>
      <c r="O26" s="179">
        <f t="shared" si="8"/>
        <v>35.946791846785089</v>
      </c>
      <c r="P26" s="179">
        <f t="shared" si="9"/>
        <v>37.68191582218823</v>
      </c>
      <c r="Q26" s="179">
        <f t="shared" si="10"/>
        <v>39.500792896417295</v>
      </c>
      <c r="R26" s="179">
        <f t="shared" si="11"/>
        <v>41.407465767090663</v>
      </c>
      <c r="S26" s="179">
        <f t="shared" si="12"/>
        <v>43.406172269729225</v>
      </c>
      <c r="T26" s="179">
        <f t="shared" si="13"/>
        <v>45.501354796912707</v>
      </c>
      <c r="U26" s="179">
        <f t="shared" si="14"/>
        <v>47.697670172091563</v>
      </c>
      <c r="V26" s="179">
        <f t="shared" si="15"/>
        <v>49.999999999999943</v>
      </c>
      <c r="W26" s="179">
        <f t="shared" si="16"/>
        <v>52.413461516675348</v>
      </c>
      <c r="X26" s="179">
        <f t="shared" si="17"/>
        <v>54.943418963200216</v>
      </c>
      <c r="Y26" s="179">
        <f t="shared" si="18"/>
        <v>57.59549550844536</v>
      </c>
      <c r="Z26" s="179">
        <f t="shared" si="19"/>
        <v>60.375585747315043</v>
      </c>
      <c r="AA26" s="179">
        <f t="shared" si="20"/>
        <v>63.289868802272672</v>
      </c>
      <c r="AB26" s="179">
        <f t="shared" si="21"/>
        <v>66.344822057267066</v>
      </c>
      <c r="AC26" s="179">
        <f t="shared" si="22"/>
        <v>69.547235554584901</v>
      </c>
      <c r="AD26" s="179">
        <f t="shared" si="23"/>
        <v>72.904227086627898</v>
      </c>
      <c r="AE26" s="179">
        <f t="shared" si="24"/>
        <v>76.423258016158726</v>
      </c>
      <c r="AF26" s="179">
        <f t="shared" si="25"/>
        <v>80.112149860177809</v>
      </c>
      <c r="AG26" s="180">
        <v>20</v>
      </c>
    </row>
    <row r="27" spans="2:33" x14ac:dyDescent="0.2">
      <c r="B27" s="181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79">
        <f t="shared" si="6"/>
        <v>29.769311056649777</v>
      </c>
      <c r="N27" s="179">
        <f t="shared" si="7"/>
        <v>31.206252788913059</v>
      </c>
      <c r="O27" s="179">
        <f t="shared" si="8"/>
        <v>32.71255459262678</v>
      </c>
      <c r="P27" s="179">
        <f t="shared" si="9"/>
        <v>34.291564425055739</v>
      </c>
      <c r="Q27" s="179">
        <f t="shared" si="10"/>
        <v>35.946791846785089</v>
      </c>
      <c r="R27" s="179">
        <f t="shared" si="11"/>
        <v>37.68191582218823</v>
      </c>
      <c r="S27" s="179">
        <f t="shared" si="12"/>
        <v>39.500792896417295</v>
      </c>
      <c r="T27" s="179">
        <f t="shared" si="13"/>
        <v>41.40746576709067</v>
      </c>
      <c r="U27" s="179">
        <f t="shared" si="14"/>
        <v>43.406172269729211</v>
      </c>
      <c r="V27" s="179">
        <f t="shared" si="15"/>
        <v>45.501354796912707</v>
      </c>
      <c r="W27" s="179">
        <f t="shared" si="16"/>
        <v>47.697670172091556</v>
      </c>
      <c r="X27" s="179">
        <f t="shared" si="17"/>
        <v>49.999999999999943</v>
      </c>
      <c r="Y27" s="179">
        <f t="shared" si="18"/>
        <v>52.413461516675348</v>
      </c>
      <c r="Z27" s="179">
        <f t="shared" si="19"/>
        <v>54.943418963200209</v>
      </c>
      <c r="AA27" s="179">
        <f t="shared" si="20"/>
        <v>57.595495508445353</v>
      </c>
      <c r="AB27" s="179">
        <f t="shared" si="21"/>
        <v>60.37558574731505</v>
      </c>
      <c r="AC27" s="179">
        <f t="shared" si="22"/>
        <v>63.28986880227265</v>
      </c>
      <c r="AD27" s="179">
        <f t="shared" si="23"/>
        <v>66.344822057267066</v>
      </c>
      <c r="AE27" s="179">
        <f t="shared" si="24"/>
        <v>69.547235554584887</v>
      </c>
      <c r="AF27" s="179">
        <f t="shared" si="25"/>
        <v>72.904227086627898</v>
      </c>
      <c r="AG27" s="180">
        <v>19</v>
      </c>
    </row>
    <row r="28" spans="2:33" x14ac:dyDescent="0.2">
      <c r="B28" s="181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79">
        <f t="shared" si="7"/>
        <v>28.398535600609616</v>
      </c>
      <c r="O28" s="179">
        <f t="shared" si="8"/>
        <v>29.769311056649773</v>
      </c>
      <c r="P28" s="179">
        <f t="shared" si="9"/>
        <v>31.206252788913048</v>
      </c>
      <c r="Q28" s="179">
        <f t="shared" si="10"/>
        <v>32.712554592626773</v>
      </c>
      <c r="R28" s="179">
        <f t="shared" si="11"/>
        <v>34.291564425055732</v>
      </c>
      <c r="S28" s="179">
        <f t="shared" si="12"/>
        <v>35.946791846785075</v>
      </c>
      <c r="T28" s="179">
        <f t="shared" si="13"/>
        <v>37.681915822188216</v>
      </c>
      <c r="U28" s="179">
        <f t="shared" si="14"/>
        <v>39.500792896417288</v>
      </c>
      <c r="V28" s="179">
        <f t="shared" si="15"/>
        <v>41.407465767090649</v>
      </c>
      <c r="W28" s="179">
        <f t="shared" si="16"/>
        <v>43.406172269729204</v>
      </c>
      <c r="X28" s="179">
        <f t="shared" si="17"/>
        <v>45.501354796912686</v>
      </c>
      <c r="Y28" s="179">
        <f t="shared" si="18"/>
        <v>47.697670172091541</v>
      </c>
      <c r="Z28" s="179">
        <f t="shared" si="19"/>
        <v>49.999999999999929</v>
      </c>
      <c r="AA28" s="179">
        <f t="shared" si="20"/>
        <v>52.413461516675326</v>
      </c>
      <c r="AB28" s="179">
        <f t="shared" si="21"/>
        <v>54.943418963200195</v>
      </c>
      <c r="AC28" s="179">
        <f t="shared" si="22"/>
        <v>57.595495508445353</v>
      </c>
      <c r="AD28" s="179">
        <f t="shared" si="23"/>
        <v>60.375585747315021</v>
      </c>
      <c r="AE28" s="179">
        <f t="shared" si="24"/>
        <v>63.289868802272643</v>
      </c>
      <c r="AF28" s="179">
        <f t="shared" si="25"/>
        <v>66.344822057267038</v>
      </c>
      <c r="AG28" s="180">
        <v>18</v>
      </c>
    </row>
    <row r="29" spans="2:33" x14ac:dyDescent="0.2">
      <c r="B29" s="181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79">
        <f t="shared" si="8"/>
        <v>27.090879688965579</v>
      </c>
      <c r="P29" s="179">
        <f t="shared" si="9"/>
        <v>28.39853560060962</v>
      </c>
      <c r="Q29" s="179">
        <f t="shared" si="10"/>
        <v>29.769311056649773</v>
      </c>
      <c r="R29" s="179">
        <f t="shared" si="11"/>
        <v>31.206252788913048</v>
      </c>
      <c r="S29" s="179">
        <f t="shared" si="12"/>
        <v>32.712554592626773</v>
      </c>
      <c r="T29" s="179">
        <f t="shared" si="13"/>
        <v>34.291564425055732</v>
      </c>
      <c r="U29" s="179">
        <f t="shared" si="14"/>
        <v>35.946791846785075</v>
      </c>
      <c r="V29" s="179">
        <f t="shared" si="15"/>
        <v>37.681915822188223</v>
      </c>
      <c r="W29" s="179">
        <f t="shared" si="16"/>
        <v>39.500792896417288</v>
      </c>
      <c r="X29" s="179">
        <f t="shared" si="17"/>
        <v>41.407465767090656</v>
      </c>
      <c r="Y29" s="179">
        <f t="shared" si="18"/>
        <v>43.406172269729204</v>
      </c>
      <c r="Z29" s="179">
        <f t="shared" si="19"/>
        <v>45.501354796912693</v>
      </c>
      <c r="AA29" s="179">
        <f t="shared" si="20"/>
        <v>47.697670172091549</v>
      </c>
      <c r="AB29" s="179">
        <f t="shared" si="21"/>
        <v>49.999999999999929</v>
      </c>
      <c r="AC29" s="179">
        <f t="shared" si="22"/>
        <v>52.413461516675333</v>
      </c>
      <c r="AD29" s="179">
        <f t="shared" si="23"/>
        <v>54.943418963200209</v>
      </c>
      <c r="AE29" s="179">
        <f t="shared" si="24"/>
        <v>57.595495508445339</v>
      </c>
      <c r="AF29" s="179">
        <f t="shared" si="25"/>
        <v>60.375585747315029</v>
      </c>
      <c r="AG29" s="180">
        <v>17</v>
      </c>
    </row>
    <row r="30" spans="2:33" x14ac:dyDescent="0.2">
      <c r="B30" s="181"/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79">
        <f t="shared" si="9"/>
        <v>25.843436881521914</v>
      </c>
      <c r="Q30" s="179">
        <f t="shared" si="10"/>
        <v>27.090879688965575</v>
      </c>
      <c r="R30" s="179">
        <f t="shared" si="11"/>
        <v>28.398535600609609</v>
      </c>
      <c r="S30" s="179">
        <f t="shared" si="12"/>
        <v>29.769311056649766</v>
      </c>
      <c r="T30" s="179">
        <f t="shared" si="13"/>
        <v>31.206252788913041</v>
      </c>
      <c r="U30" s="179">
        <f t="shared" si="14"/>
        <v>32.712554592626766</v>
      </c>
      <c r="V30" s="179">
        <f t="shared" si="15"/>
        <v>34.291564425055725</v>
      </c>
      <c r="W30" s="179">
        <f t="shared" si="16"/>
        <v>35.946791846785075</v>
      </c>
      <c r="X30" s="179">
        <f t="shared" si="17"/>
        <v>37.681915822188209</v>
      </c>
      <c r="Y30" s="179">
        <f t="shared" si="18"/>
        <v>39.500792896417281</v>
      </c>
      <c r="Z30" s="179">
        <f t="shared" si="19"/>
        <v>41.407465767090642</v>
      </c>
      <c r="AA30" s="179">
        <f t="shared" si="20"/>
        <v>43.40617226972919</v>
      </c>
      <c r="AB30" s="179">
        <f t="shared" si="21"/>
        <v>45.501354796912686</v>
      </c>
      <c r="AC30" s="179">
        <f t="shared" si="22"/>
        <v>47.697670172091534</v>
      </c>
      <c r="AD30" s="179">
        <f t="shared" si="23"/>
        <v>49.999999999999922</v>
      </c>
      <c r="AE30" s="179">
        <f t="shared" si="24"/>
        <v>52.413461516675333</v>
      </c>
      <c r="AF30" s="179">
        <f t="shared" si="25"/>
        <v>54.94341896320018</v>
      </c>
      <c r="AG30" s="180">
        <v>16</v>
      </c>
    </row>
    <row r="31" spans="2:33" x14ac:dyDescent="0.2">
      <c r="B31" s="181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79">
        <f t="shared" si="10"/>
        <v>24.653434569762002</v>
      </c>
      <c r="R31" s="179">
        <f t="shared" si="11"/>
        <v>25.843436881521917</v>
      </c>
      <c r="S31" s="179">
        <f t="shared" si="12"/>
        <v>27.090879688965572</v>
      </c>
      <c r="T31" s="179">
        <f t="shared" si="13"/>
        <v>28.398535600609609</v>
      </c>
      <c r="U31" s="179">
        <f t="shared" si="14"/>
        <v>29.769311056649762</v>
      </c>
      <c r="V31" s="179">
        <f t="shared" si="15"/>
        <v>31.206252788913041</v>
      </c>
      <c r="W31" s="179">
        <f t="shared" si="16"/>
        <v>32.712554592626759</v>
      </c>
      <c r="X31" s="179">
        <f t="shared" si="17"/>
        <v>34.291564425055725</v>
      </c>
      <c r="Y31" s="179">
        <f t="shared" si="18"/>
        <v>35.946791846785068</v>
      </c>
      <c r="Z31" s="179">
        <f t="shared" si="19"/>
        <v>37.681915822188209</v>
      </c>
      <c r="AA31" s="179">
        <f t="shared" si="20"/>
        <v>39.500792896417273</v>
      </c>
      <c r="AB31" s="179">
        <f t="shared" si="21"/>
        <v>41.407465767090642</v>
      </c>
      <c r="AC31" s="179">
        <f t="shared" si="22"/>
        <v>43.40617226972919</v>
      </c>
      <c r="AD31" s="179">
        <f t="shared" si="23"/>
        <v>45.501354796912679</v>
      </c>
      <c r="AE31" s="179">
        <f t="shared" si="24"/>
        <v>47.697670172091534</v>
      </c>
      <c r="AF31" s="179">
        <f t="shared" si="25"/>
        <v>49.999999999999929</v>
      </c>
      <c r="AG31" s="180">
        <v>15</v>
      </c>
    </row>
    <row r="32" spans="2:33" x14ac:dyDescent="0.2">
      <c r="B32" s="181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79">
        <f t="shared" si="11"/>
        <v>23.518227814354979</v>
      </c>
      <c r="S32" s="179">
        <f t="shared" si="12"/>
        <v>24.653434569762002</v>
      </c>
      <c r="T32" s="179">
        <f t="shared" si="13"/>
        <v>25.84343688152191</v>
      </c>
      <c r="U32" s="179">
        <f t="shared" si="14"/>
        <v>27.090879688965572</v>
      </c>
      <c r="V32" s="179">
        <f t="shared" si="15"/>
        <v>28.398535600609605</v>
      </c>
      <c r="W32" s="179">
        <f t="shared" si="16"/>
        <v>29.769311056649759</v>
      </c>
      <c r="X32" s="179">
        <f t="shared" si="17"/>
        <v>31.206252788913037</v>
      </c>
      <c r="Y32" s="179">
        <f t="shared" si="18"/>
        <v>32.712554592626766</v>
      </c>
      <c r="Z32" s="179">
        <f t="shared" si="19"/>
        <v>34.291564425055718</v>
      </c>
      <c r="AA32" s="179">
        <f t="shared" si="20"/>
        <v>35.946791846785068</v>
      </c>
      <c r="AB32" s="179">
        <f t="shared" si="21"/>
        <v>37.681915822188202</v>
      </c>
      <c r="AC32" s="179">
        <f t="shared" si="22"/>
        <v>39.500792896417273</v>
      </c>
      <c r="AD32" s="179">
        <f t="shared" si="23"/>
        <v>41.407465767090635</v>
      </c>
      <c r="AE32" s="179">
        <f t="shared" si="24"/>
        <v>43.406172269729183</v>
      </c>
      <c r="AF32" s="179">
        <f t="shared" si="25"/>
        <v>45.501354796912679</v>
      </c>
      <c r="AG32" s="180">
        <v>14</v>
      </c>
    </row>
    <row r="33" spans="2:33" x14ac:dyDescent="0.2">
      <c r="B33" s="181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79">
        <f t="shared" si="12"/>
        <v>22.435293466424294</v>
      </c>
      <c r="T33" s="179">
        <f t="shared" si="13"/>
        <v>23.518227814354979</v>
      </c>
      <c r="U33" s="179">
        <f t="shared" si="14"/>
        <v>24.653434569761995</v>
      </c>
      <c r="V33" s="179">
        <f t="shared" si="15"/>
        <v>25.843436881521907</v>
      </c>
      <c r="W33" s="179">
        <f t="shared" si="16"/>
        <v>27.090879688965568</v>
      </c>
      <c r="X33" s="179">
        <f t="shared" si="17"/>
        <v>28.398535600609602</v>
      </c>
      <c r="Y33" s="179">
        <f t="shared" si="18"/>
        <v>29.769311056649755</v>
      </c>
      <c r="Z33" s="179">
        <f t="shared" si="19"/>
        <v>31.206252788913037</v>
      </c>
      <c r="AA33" s="179">
        <f t="shared" si="20"/>
        <v>32.712554592626759</v>
      </c>
      <c r="AB33" s="179">
        <f t="shared" si="21"/>
        <v>34.291564425055718</v>
      </c>
      <c r="AC33" s="179">
        <f t="shared" si="22"/>
        <v>35.946791846785061</v>
      </c>
      <c r="AD33" s="179">
        <f t="shared" si="23"/>
        <v>37.681915822188202</v>
      </c>
      <c r="AE33" s="179">
        <f t="shared" si="24"/>
        <v>39.500792896417266</v>
      </c>
      <c r="AF33" s="179">
        <f t="shared" si="25"/>
        <v>41.407465767090628</v>
      </c>
      <c r="AG33" s="180">
        <v>13</v>
      </c>
    </row>
    <row r="34" spans="2:33" x14ac:dyDescent="0.2">
      <c r="B34" s="181"/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79">
        <f t="shared" si="13"/>
        <v>21.402224559511758</v>
      </c>
      <c r="U34" s="179">
        <f t="shared" si="14"/>
        <v>22.435293466424298</v>
      </c>
      <c r="V34" s="179">
        <f t="shared" si="15"/>
        <v>23.518227814354976</v>
      </c>
      <c r="W34" s="179">
        <f t="shared" si="16"/>
        <v>24.653434569761995</v>
      </c>
      <c r="X34" s="179">
        <f t="shared" si="17"/>
        <v>25.843436881521907</v>
      </c>
      <c r="Y34" s="179">
        <f t="shared" si="18"/>
        <v>27.090879688965565</v>
      </c>
      <c r="Z34" s="179">
        <f t="shared" si="19"/>
        <v>28.398535600609602</v>
      </c>
      <c r="AA34" s="179">
        <f t="shared" si="20"/>
        <v>29.769311056649762</v>
      </c>
      <c r="AB34" s="179">
        <f t="shared" si="21"/>
        <v>31.206252788913034</v>
      </c>
      <c r="AC34" s="179">
        <f t="shared" si="22"/>
        <v>32.712554592626759</v>
      </c>
      <c r="AD34" s="179">
        <f t="shared" si="23"/>
        <v>34.291564425055711</v>
      </c>
      <c r="AE34" s="179">
        <f t="shared" si="24"/>
        <v>35.946791846785061</v>
      </c>
      <c r="AF34" s="179">
        <f t="shared" si="25"/>
        <v>37.681915822188202</v>
      </c>
      <c r="AG34" s="180">
        <v>12</v>
      </c>
    </row>
    <row r="35" spans="2:33" x14ac:dyDescent="0.2">
      <c r="B35" s="181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79">
        <f t="shared" si="14"/>
        <v>20.416724959772605</v>
      </c>
      <c r="V35" s="179">
        <f t="shared" si="15"/>
        <v>21.402224559511755</v>
      </c>
      <c r="W35" s="179">
        <f t="shared" si="16"/>
        <v>22.435293466424291</v>
      </c>
      <c r="X35" s="179">
        <f t="shared" si="17"/>
        <v>23.518227814354972</v>
      </c>
      <c r="Y35" s="179">
        <f t="shared" si="18"/>
        <v>24.653434569761991</v>
      </c>
      <c r="Z35" s="179">
        <f t="shared" si="19"/>
        <v>25.843436881521903</v>
      </c>
      <c r="AA35" s="179">
        <f t="shared" si="20"/>
        <v>27.090879688965561</v>
      </c>
      <c r="AB35" s="179">
        <f t="shared" si="21"/>
        <v>28.398535600609602</v>
      </c>
      <c r="AC35" s="179">
        <f t="shared" si="22"/>
        <v>29.769311056649752</v>
      </c>
      <c r="AD35" s="179">
        <f t="shared" si="23"/>
        <v>31.20625278891303</v>
      </c>
      <c r="AE35" s="179">
        <f t="shared" si="24"/>
        <v>32.712554592626752</v>
      </c>
      <c r="AF35" s="179">
        <f t="shared" si="25"/>
        <v>34.291564425055711</v>
      </c>
      <c r="AG35" s="180">
        <v>11</v>
      </c>
    </row>
    <row r="36" spans="2:33" x14ac:dyDescent="0.2">
      <c r="B36" s="181"/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2"/>
      <c r="R36" s="182"/>
      <c r="S36" s="182"/>
      <c r="T36" s="182"/>
      <c r="U36" s="182"/>
      <c r="V36" s="179">
        <f t="shared" si="15"/>
        <v>19.476604262510879</v>
      </c>
      <c r="W36" s="179">
        <f t="shared" si="16"/>
        <v>20.416724959772605</v>
      </c>
      <c r="X36" s="179">
        <f t="shared" si="17"/>
        <v>21.402224559511751</v>
      </c>
      <c r="Y36" s="179">
        <f t="shared" si="18"/>
        <v>22.435293466424287</v>
      </c>
      <c r="Z36" s="179">
        <f t="shared" si="19"/>
        <v>23.518227814354972</v>
      </c>
      <c r="AA36" s="179">
        <f t="shared" si="20"/>
        <v>24.653434569761988</v>
      </c>
      <c r="AB36" s="179">
        <f t="shared" si="21"/>
        <v>25.8434368815219</v>
      </c>
      <c r="AC36" s="179">
        <f t="shared" si="22"/>
        <v>27.090879688965565</v>
      </c>
      <c r="AD36" s="179">
        <f t="shared" si="23"/>
        <v>28.398535600609595</v>
      </c>
      <c r="AE36" s="179">
        <f t="shared" si="24"/>
        <v>29.769311056649748</v>
      </c>
      <c r="AF36" s="179">
        <f t="shared" si="25"/>
        <v>31.206252788913023</v>
      </c>
      <c r="AG36" s="180">
        <v>10</v>
      </c>
    </row>
    <row r="37" spans="2:33" x14ac:dyDescent="0.2">
      <c r="B37" s="181"/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182"/>
      <c r="S37" s="182"/>
      <c r="T37" s="182"/>
      <c r="U37" s="182"/>
      <c r="V37" s="182"/>
      <c r="W37" s="179">
        <f t="shared" si="16"/>
        <v>18.57977292371195</v>
      </c>
      <c r="X37" s="179">
        <f t="shared" si="17"/>
        <v>19.476604262510879</v>
      </c>
      <c r="Y37" s="179">
        <f t="shared" si="18"/>
        <v>20.416724959772601</v>
      </c>
      <c r="Z37" s="179">
        <f t="shared" si="19"/>
        <v>21.402224559511748</v>
      </c>
      <c r="AA37" s="179">
        <f t="shared" si="20"/>
        <v>22.435293466424284</v>
      </c>
      <c r="AB37" s="179">
        <f t="shared" si="21"/>
        <v>23.518227814354969</v>
      </c>
      <c r="AC37" s="179">
        <f t="shared" si="22"/>
        <v>24.653434569761984</v>
      </c>
      <c r="AD37" s="179">
        <f t="shared" si="23"/>
        <v>25.843436881521903</v>
      </c>
      <c r="AE37" s="179">
        <f t="shared" si="24"/>
        <v>27.090879688965558</v>
      </c>
      <c r="AF37" s="179">
        <f t="shared" si="25"/>
        <v>28.398535600609591</v>
      </c>
      <c r="AG37" s="180">
        <v>9</v>
      </c>
    </row>
    <row r="38" spans="2:33" x14ac:dyDescent="0.2">
      <c r="B38" s="181"/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79">
        <f t="shared" si="17"/>
        <v>17.724237615751413</v>
      </c>
      <c r="Y38" s="179">
        <f t="shared" si="18"/>
        <v>18.579772923711946</v>
      </c>
      <c r="Z38" s="179">
        <f t="shared" si="19"/>
        <v>19.476604262510875</v>
      </c>
      <c r="AA38" s="179">
        <f t="shared" si="20"/>
        <v>20.416724959772598</v>
      </c>
      <c r="AB38" s="179">
        <f t="shared" si="21"/>
        <v>21.402224559511744</v>
      </c>
      <c r="AC38" s="179">
        <f t="shared" si="22"/>
        <v>22.43529346642428</v>
      </c>
      <c r="AD38" s="179">
        <f t="shared" si="23"/>
        <v>23.518227814354965</v>
      </c>
      <c r="AE38" s="179">
        <f t="shared" si="24"/>
        <v>24.653434569761984</v>
      </c>
      <c r="AF38" s="179">
        <f t="shared" si="25"/>
        <v>25.843436881521892</v>
      </c>
      <c r="AG38" s="180">
        <v>8</v>
      </c>
    </row>
    <row r="39" spans="2:33" x14ac:dyDescent="0.2">
      <c r="B39" s="181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79">
        <f t="shared" si="18"/>
        <v>16.908096796957807</v>
      </c>
      <c r="Z39" s="179">
        <f t="shared" si="19"/>
        <v>17.724237615751413</v>
      </c>
      <c r="AA39" s="179">
        <f t="shared" si="20"/>
        <v>18.579772923711946</v>
      </c>
      <c r="AB39" s="179">
        <f t="shared" si="21"/>
        <v>19.476604262510875</v>
      </c>
      <c r="AC39" s="179">
        <f t="shared" si="22"/>
        <v>20.416724959772598</v>
      </c>
      <c r="AD39" s="179">
        <f t="shared" si="23"/>
        <v>21.402224559511744</v>
      </c>
      <c r="AE39" s="179">
        <f t="shared" si="24"/>
        <v>22.43529346642428</v>
      </c>
      <c r="AF39" s="179">
        <f t="shared" si="25"/>
        <v>23.518227814354969</v>
      </c>
      <c r="AG39" s="180">
        <v>7</v>
      </c>
    </row>
    <row r="40" spans="2:33" x14ac:dyDescent="0.2">
      <c r="B40" s="181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79">
        <f t="shared" si="19"/>
        <v>16.129536485181838</v>
      </c>
      <c r="AA40" s="179">
        <f t="shared" si="20"/>
        <v>16.908096796957803</v>
      </c>
      <c r="AB40" s="179">
        <f t="shared" si="21"/>
        <v>17.724237615751406</v>
      </c>
      <c r="AC40" s="179">
        <f t="shared" si="22"/>
        <v>18.579772923711939</v>
      </c>
      <c r="AD40" s="179">
        <f t="shared" si="23"/>
        <v>19.476604262510868</v>
      </c>
      <c r="AE40" s="179">
        <f t="shared" si="24"/>
        <v>20.416724959772591</v>
      </c>
      <c r="AF40" s="179">
        <f t="shared" si="25"/>
        <v>21.40222455951174</v>
      </c>
      <c r="AG40" s="180">
        <v>6</v>
      </c>
    </row>
    <row r="41" spans="2:33" x14ac:dyDescent="0.2">
      <c r="B41" s="181"/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79">
        <f t="shared" si="20"/>
        <v>15.386826225978419</v>
      </c>
      <c r="AB41" s="179">
        <f t="shared" si="21"/>
        <v>16.129536485181838</v>
      </c>
      <c r="AC41" s="179">
        <f t="shared" si="22"/>
        <v>16.9080967969578</v>
      </c>
      <c r="AD41" s="179">
        <f t="shared" si="23"/>
        <v>17.724237615751406</v>
      </c>
      <c r="AE41" s="179">
        <f t="shared" si="24"/>
        <v>18.579772923711939</v>
      </c>
      <c r="AF41" s="179">
        <f t="shared" si="25"/>
        <v>19.476604262510868</v>
      </c>
      <c r="AG41" s="180">
        <v>5</v>
      </c>
    </row>
    <row r="42" spans="2:33" x14ac:dyDescent="0.2">
      <c r="B42" s="181"/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79">
        <f t="shared" si="21"/>
        <v>14.678315246440155</v>
      </c>
      <c r="AC42" s="179">
        <f t="shared" si="22"/>
        <v>15.386826225978419</v>
      </c>
      <c r="AD42" s="179">
        <f t="shared" si="23"/>
        <v>16.129536485181834</v>
      </c>
      <c r="AE42" s="179">
        <f t="shared" si="24"/>
        <v>16.9080967969578</v>
      </c>
      <c r="AF42" s="179">
        <f t="shared" si="25"/>
        <v>17.724237615751406</v>
      </c>
      <c r="AG42" s="180">
        <v>4</v>
      </c>
    </row>
    <row r="43" spans="2:33" x14ac:dyDescent="0.2">
      <c r="B43" s="181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79">
        <f t="shared" si="22"/>
        <v>14.002428786133722</v>
      </c>
      <c r="AD43" s="179">
        <f t="shared" si="23"/>
        <v>14.678315246440157</v>
      </c>
      <c r="AE43" s="179">
        <f t="shared" si="24"/>
        <v>15.386826225978419</v>
      </c>
      <c r="AF43" s="179">
        <f t="shared" si="25"/>
        <v>16.129536485181834</v>
      </c>
      <c r="AG43" s="180">
        <v>3</v>
      </c>
    </row>
    <row r="44" spans="2:33" x14ac:dyDescent="0.2">
      <c r="B44" s="181"/>
      <c r="C44" s="182"/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79">
        <f t="shared" si="23"/>
        <v>13.357664596984142</v>
      </c>
      <c r="AE44" s="179">
        <f t="shared" si="24"/>
        <v>14.002428786133718</v>
      </c>
      <c r="AF44" s="179">
        <f t="shared" si="25"/>
        <v>14.67831524644015</v>
      </c>
      <c r="AG44" s="180">
        <v>2</v>
      </c>
    </row>
    <row r="45" spans="2:33" x14ac:dyDescent="0.2">
      <c r="B45" s="181"/>
      <c r="C45" s="182"/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79">
        <f t="shared" si="24"/>
        <v>12.742589604327495</v>
      </c>
      <c r="AF45" s="179">
        <f t="shared" si="25"/>
        <v>13.357664596984147</v>
      </c>
      <c r="AG45" s="180">
        <v>1</v>
      </c>
    </row>
    <row r="46" spans="2:33" x14ac:dyDescent="0.2">
      <c r="B46" s="183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5"/>
      <c r="AF46" s="186">
        <f t="shared" si="25"/>
        <v>12.15583672171072</v>
      </c>
      <c r="AG46" s="187">
        <v>0</v>
      </c>
    </row>
    <row r="47" spans="2:33" x14ac:dyDescent="0.2">
      <c r="B47" s="188" t="s">
        <v>12</v>
      </c>
      <c r="C47" s="189"/>
      <c r="D47" s="189"/>
      <c r="E47" s="190"/>
      <c r="F47" s="166"/>
    </row>
    <row r="48" spans="2:33" x14ac:dyDescent="0.2">
      <c r="B48" s="131"/>
      <c r="C48" s="20"/>
      <c r="D48" s="20"/>
      <c r="E48" s="15"/>
      <c r="F48" s="166"/>
    </row>
    <row r="49" spans="1:35" x14ac:dyDescent="0.2">
      <c r="A49" s="191" t="s">
        <v>14</v>
      </c>
      <c r="B49" s="192">
        <v>0</v>
      </c>
      <c r="C49" s="192">
        <v>1</v>
      </c>
      <c r="D49" s="192">
        <v>2</v>
      </c>
      <c r="E49" s="192">
        <v>3</v>
      </c>
      <c r="F49" s="192">
        <v>4</v>
      </c>
      <c r="G49" s="192">
        <v>5</v>
      </c>
      <c r="H49" s="192">
        <v>6</v>
      </c>
      <c r="I49" s="192">
        <v>7</v>
      </c>
      <c r="J49" s="192">
        <v>8</v>
      </c>
      <c r="K49" s="192">
        <v>9</v>
      </c>
      <c r="L49" s="192">
        <v>10</v>
      </c>
      <c r="M49" s="192">
        <v>11</v>
      </c>
      <c r="N49" s="192">
        <v>12</v>
      </c>
      <c r="O49" s="192">
        <v>13</v>
      </c>
      <c r="P49" s="192">
        <v>14</v>
      </c>
      <c r="Q49" s="192">
        <v>15</v>
      </c>
      <c r="R49" s="192">
        <v>16</v>
      </c>
      <c r="S49" s="192">
        <v>17</v>
      </c>
      <c r="T49" s="192">
        <v>18</v>
      </c>
      <c r="U49" s="192">
        <v>19</v>
      </c>
      <c r="V49" s="192">
        <v>20</v>
      </c>
      <c r="W49" s="192">
        <v>21</v>
      </c>
      <c r="X49" s="192">
        <v>22</v>
      </c>
      <c r="Y49" s="192">
        <v>23</v>
      </c>
      <c r="Z49" s="192">
        <v>24</v>
      </c>
      <c r="AA49" s="192">
        <v>25</v>
      </c>
      <c r="AB49" s="192">
        <v>26</v>
      </c>
      <c r="AC49" s="192">
        <v>27</v>
      </c>
      <c r="AD49" s="192">
        <v>28</v>
      </c>
      <c r="AE49" s="192">
        <v>29</v>
      </c>
      <c r="AF49" s="192">
        <v>30</v>
      </c>
      <c r="AG49" s="170" t="s">
        <v>15</v>
      </c>
    </row>
    <row r="50" spans="1:35" x14ac:dyDescent="0.2">
      <c r="B50" s="172" t="s">
        <v>10</v>
      </c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4"/>
    </row>
    <row r="51" spans="1:35" x14ac:dyDescent="0.2">
      <c r="B51" s="45">
        <v>30</v>
      </c>
      <c r="C51" s="45">
        <v>29</v>
      </c>
      <c r="D51" s="45">
        <v>28</v>
      </c>
      <c r="E51" s="45">
        <v>27</v>
      </c>
      <c r="F51" s="45">
        <v>26</v>
      </c>
      <c r="G51" s="45">
        <v>25</v>
      </c>
      <c r="H51" s="45">
        <v>24</v>
      </c>
      <c r="I51" s="45">
        <v>23</v>
      </c>
      <c r="J51" s="45">
        <v>22</v>
      </c>
      <c r="K51" s="45">
        <v>21</v>
      </c>
      <c r="L51" s="45">
        <v>20</v>
      </c>
      <c r="M51" s="45">
        <v>19</v>
      </c>
      <c r="N51" s="45">
        <v>18</v>
      </c>
      <c r="O51" s="45">
        <v>17</v>
      </c>
      <c r="P51" s="45">
        <v>16</v>
      </c>
      <c r="Q51" s="45">
        <v>15</v>
      </c>
      <c r="R51" s="45">
        <v>14</v>
      </c>
      <c r="S51" s="45">
        <v>13</v>
      </c>
      <c r="T51" s="45">
        <v>12</v>
      </c>
      <c r="U51" s="45">
        <v>11</v>
      </c>
      <c r="V51" s="45">
        <v>10</v>
      </c>
      <c r="W51" s="45">
        <v>9</v>
      </c>
      <c r="X51" s="45">
        <v>8</v>
      </c>
      <c r="Y51" s="45">
        <v>7</v>
      </c>
      <c r="Z51" s="45">
        <v>6</v>
      </c>
      <c r="AA51" s="45">
        <v>5</v>
      </c>
      <c r="AB51" s="45">
        <v>4</v>
      </c>
      <c r="AC51" s="45">
        <v>3</v>
      </c>
      <c r="AD51" s="45">
        <v>2</v>
      </c>
      <c r="AE51" s="45">
        <v>1</v>
      </c>
      <c r="AF51" s="45">
        <v>0</v>
      </c>
      <c r="AG51" s="177" t="s">
        <v>18</v>
      </c>
    </row>
    <row r="52" spans="1:35" x14ac:dyDescent="0.2">
      <c r="B52" s="193">
        <f t="shared" ref="B52:AE52" si="26">(C52*Pu+C53*Pd)*EXP(-r_f*delta_t)</f>
        <v>6.0742457307030326</v>
      </c>
      <c r="C52" s="194">
        <f t="shared" si="26"/>
        <v>7.5203717213869119</v>
      </c>
      <c r="D52" s="194">
        <f t="shared" si="26"/>
        <v>9.2050621241081725</v>
      </c>
      <c r="E52" s="194">
        <f t="shared" si="26"/>
        <v>11.139316253849316</v>
      </c>
      <c r="F52" s="194">
        <f t="shared" si="26"/>
        <v>13.328531418958702</v>
      </c>
      <c r="G52" s="194">
        <f t="shared" si="26"/>
        <v>15.772306625774887</v>
      </c>
      <c r="H52" s="194">
        <f t="shared" si="26"/>
        <v>18.4649658426465</v>
      </c>
      <c r="I52" s="194">
        <f t="shared" si="26"/>
        <v>21.396820193199581</v>
      </c>
      <c r="J52" s="194">
        <f t="shared" si="26"/>
        <v>24.556032379544991</v>
      </c>
      <c r="K52" s="194">
        <f t="shared" si="26"/>
        <v>27.930787754108021</v>
      </c>
      <c r="L52" s="194">
        <f t="shared" si="26"/>
        <v>31.511366477583927</v>
      </c>
      <c r="M52" s="194">
        <f t="shared" si="26"/>
        <v>35.291702304693899</v>
      </c>
      <c r="N52" s="194">
        <f t="shared" si="26"/>
        <v>39.270134072525614</v>
      </c>
      <c r="O52" s="194">
        <f t="shared" si="26"/>
        <v>43.449286115171773</v>
      </c>
      <c r="P52" s="194">
        <f t="shared" si="26"/>
        <v>47.83527690568036</v>
      </c>
      <c r="Q52" s="194">
        <f t="shared" si="26"/>
        <v>52.436640015811292</v>
      </c>
      <c r="R52" s="194">
        <f t="shared" si="26"/>
        <v>57.263357571047187</v>
      </c>
      <c r="S52" s="194">
        <f t="shared" si="26"/>
        <v>62.326247673592199</v>
      </c>
      <c r="T52" s="194">
        <f t="shared" si="26"/>
        <v>67.636714625006647</v>
      </c>
      <c r="U52" s="194">
        <f t="shared" si="26"/>
        <v>73.206713209873001</v>
      </c>
      <c r="V52" s="194">
        <f t="shared" si="26"/>
        <v>79.04877526719612</v>
      </c>
      <c r="W52" s="194">
        <f t="shared" si="26"/>
        <v>85.176037544384727</v>
      </c>
      <c r="X52" s="194">
        <f t="shared" si="26"/>
        <v>91.602270895723052</v>
      </c>
      <c r="Y52" s="194">
        <f t="shared" si="26"/>
        <v>98.341910890230267</v>
      </c>
      <c r="Z52" s="194">
        <f t="shared" si="26"/>
        <v>105.41008989693778</v>
      </c>
      <c r="AA52" s="194">
        <f t="shared" si="26"/>
        <v>112.82267071889807</v>
      </c>
      <c r="AB52" s="194">
        <f t="shared" si="26"/>
        <v>120.59628185068136</v>
      </c>
      <c r="AC52" s="194">
        <f t="shared" si="26"/>
        <v>128.7483544377246</v>
      </c>
      <c r="AD52" s="194">
        <f t="shared" si="26"/>
        <v>137.29716101967958</v>
      </c>
      <c r="AE52" s="194">
        <f t="shared" si="26"/>
        <v>146.26185614387271</v>
      </c>
      <c r="AF52" s="195">
        <f>MAX(AF16-$C$4,0)</f>
        <v>155.66251893914554</v>
      </c>
      <c r="AG52" s="196">
        <v>30</v>
      </c>
      <c r="AI52" s="197">
        <f>MAX(R16-50,0)</f>
        <v>56.300526541972417</v>
      </c>
    </row>
    <row r="53" spans="1:35" x14ac:dyDescent="0.2">
      <c r="B53" s="181"/>
      <c r="C53" s="198">
        <f t="shared" ref="C53:AE53" si="27">(D53*Pu+D54*Pd)*EXP(-r_f*delta_t)</f>
        <v>4.6279201799048115</v>
      </c>
      <c r="D53" s="198">
        <f t="shared" si="27"/>
        <v>5.8366905571816723</v>
      </c>
      <c r="E53" s="198">
        <f t="shared" si="27"/>
        <v>7.2735624045965031</v>
      </c>
      <c r="F53" s="198">
        <f t="shared" si="27"/>
        <v>8.9552343697039731</v>
      </c>
      <c r="G53" s="198">
        <f t="shared" si="27"/>
        <v>10.892986056941902</v>
      </c>
      <c r="H53" s="198">
        <f t="shared" si="27"/>
        <v>13.091753073353647</v>
      </c>
      <c r="I53" s="198">
        <f t="shared" si="27"/>
        <v>15.549904045728487</v>
      </c>
      <c r="J53" s="198">
        <f t="shared" si="27"/>
        <v>18.259896956924379</v>
      </c>
      <c r="K53" s="198">
        <f t="shared" si="27"/>
        <v>21.20983848985043</v>
      </c>
      <c r="L53" s="198">
        <f t="shared" si="27"/>
        <v>24.385761259379596</v>
      </c>
      <c r="M53" s="198">
        <f t="shared" si="27"/>
        <v>27.774221237191028</v>
      </c>
      <c r="N53" s="198">
        <f t="shared" si="27"/>
        <v>31.3646777868782</v>
      </c>
      <c r="O53" s="198">
        <f t="shared" si="27"/>
        <v>35.151128678406266</v>
      </c>
      <c r="P53" s="198">
        <f t="shared" si="27"/>
        <v>39.132669923816181</v>
      </c>
      <c r="Q53" s="198">
        <f t="shared" si="27"/>
        <v>43.312993307120784</v>
      </c>
      <c r="R53" s="198">
        <f t="shared" si="27"/>
        <v>47.69919049477334</v>
      </c>
      <c r="S53" s="198">
        <f t="shared" si="27"/>
        <v>52.300425613765519</v>
      </c>
      <c r="T53" s="198">
        <f t="shared" si="27"/>
        <v>57.126953850891439</v>
      </c>
      <c r="U53" s="198">
        <f t="shared" si="27"/>
        <v>62.18965437220195</v>
      </c>
      <c r="V53" s="198">
        <f t="shared" si="27"/>
        <v>67.49993147889171</v>
      </c>
      <c r="W53" s="198">
        <f t="shared" si="27"/>
        <v>73.069739955176942</v>
      </c>
      <c r="X53" s="198">
        <f t="shared" si="27"/>
        <v>78.911611639695792</v>
      </c>
      <c r="Y53" s="198">
        <f t="shared" si="27"/>
        <v>85.038683279489788</v>
      </c>
      <c r="Z53" s="198">
        <f t="shared" si="27"/>
        <v>91.464725728475372</v>
      </c>
      <c r="AA53" s="198">
        <f t="shared" si="27"/>
        <v>98.204174555303481</v>
      </c>
      <c r="AB53" s="198">
        <f t="shared" si="27"/>
        <v>105.27216212863674</v>
      </c>
      <c r="AC53" s="198">
        <f t="shared" si="27"/>
        <v>112.68455125115837</v>
      </c>
      <c r="AD53" s="198">
        <f t="shared" si="27"/>
        <v>120.45797041706884</v>
      </c>
      <c r="AE53" s="198">
        <f t="shared" si="27"/>
        <v>128.60985077143471</v>
      </c>
      <c r="AF53" s="199">
        <f t="shared" ref="AF53:AF82" si="28">MAX(AF17-$C$4,0)</f>
        <v>137.15846485353697</v>
      </c>
      <c r="AG53" s="180">
        <v>29</v>
      </c>
    </row>
    <row r="54" spans="1:35" x14ac:dyDescent="0.2">
      <c r="B54" s="181"/>
      <c r="C54" s="182"/>
      <c r="D54" s="198">
        <f t="shared" ref="D54:AE54" si="29">(E54*Pu+E55*Pd)*EXP(-r_f*delta_t)</f>
        <v>3.4177265215525781</v>
      </c>
      <c r="E54" s="198">
        <f t="shared" si="29"/>
        <v>4.399064860516714</v>
      </c>
      <c r="F54" s="198">
        <f t="shared" si="29"/>
        <v>5.5922454124910779</v>
      </c>
      <c r="G54" s="198">
        <f t="shared" si="29"/>
        <v>7.0194969565129339</v>
      </c>
      <c r="H54" s="198">
        <f t="shared" si="29"/>
        <v>8.6985500212801092</v>
      </c>
      <c r="I54" s="198">
        <f t="shared" si="29"/>
        <v>10.640999031456161</v>
      </c>
      <c r="J54" s="198">
        <f t="shared" si="29"/>
        <v>12.851188933050866</v>
      </c>
      <c r="K54" s="198">
        <f t="shared" si="29"/>
        <v>15.325959626785378</v>
      </c>
      <c r="L54" s="198">
        <f t="shared" si="29"/>
        <v>18.055483253660388</v>
      </c>
      <c r="M54" s="198">
        <f t="shared" si="29"/>
        <v>21.025223796693076</v>
      </c>
      <c r="N54" s="198">
        <f t="shared" si="29"/>
        <v>24.218761741745432</v>
      </c>
      <c r="O54" s="198">
        <f t="shared" si="29"/>
        <v>27.620934641573349</v>
      </c>
      <c r="P54" s="198">
        <f t="shared" si="29"/>
        <v>31.220564657396242</v>
      </c>
      <c r="Q54" s="198">
        <f t="shared" si="29"/>
        <v>35.01209488935708</v>
      </c>
      <c r="R54" s="198">
        <f t="shared" si="29"/>
        <v>38.995787160823184</v>
      </c>
      <c r="S54" s="198">
        <f t="shared" si="29"/>
        <v>43.176655880267766</v>
      </c>
      <c r="T54" s="198">
        <f t="shared" si="29"/>
        <v>47.562786774617592</v>
      </c>
      <c r="U54" s="198">
        <f t="shared" si="29"/>
        <v>52.163832312375284</v>
      </c>
      <c r="V54" s="198">
        <f t="shared" si="29"/>
        <v>56.990170704776503</v>
      </c>
      <c r="W54" s="198">
        <f t="shared" si="29"/>
        <v>62.052681117505898</v>
      </c>
      <c r="X54" s="198">
        <f t="shared" si="29"/>
        <v>67.362767851391396</v>
      </c>
      <c r="Y54" s="198">
        <f t="shared" si="29"/>
        <v>72.932385690282004</v>
      </c>
      <c r="Z54" s="198">
        <f t="shared" si="29"/>
        <v>78.774066472448126</v>
      </c>
      <c r="AA54" s="198">
        <f t="shared" si="29"/>
        <v>84.900946944562989</v>
      </c>
      <c r="AB54" s="198">
        <f t="shared" si="29"/>
        <v>91.326797960174332</v>
      </c>
      <c r="AC54" s="198">
        <f t="shared" si="29"/>
        <v>98.066055087563782</v>
      </c>
      <c r="AD54" s="198">
        <f t="shared" si="29"/>
        <v>105.13385069502418</v>
      </c>
      <c r="AE54" s="198">
        <f t="shared" si="29"/>
        <v>112.54604758486845</v>
      </c>
      <c r="AF54" s="199">
        <f t="shared" si="28"/>
        <v>120.31927425092621</v>
      </c>
      <c r="AG54" s="180">
        <v>28</v>
      </c>
    </row>
    <row r="55" spans="1:35" x14ac:dyDescent="0.2">
      <c r="B55" s="181"/>
      <c r="C55" s="182"/>
      <c r="D55" s="133"/>
      <c r="E55" s="198">
        <f t="shared" ref="E55:AE55" si="30">(F55*Pu+F56*Pd)*EXP(-r_f*delta_t)</f>
        <v>2.4342835349278111</v>
      </c>
      <c r="F55" s="198">
        <f t="shared" si="30"/>
        <v>3.2040063528257612</v>
      </c>
      <c r="G55" s="198">
        <f t="shared" si="30"/>
        <v>4.1636708153137727</v>
      </c>
      <c r="H55" s="198">
        <f t="shared" si="30"/>
        <v>5.3401195617140456</v>
      </c>
      <c r="I55" s="198">
        <f t="shared" si="30"/>
        <v>6.7573417194256207</v>
      </c>
      <c r="J55" s="198">
        <f t="shared" si="30"/>
        <v>8.4342997588941504</v>
      </c>
      <c r="K55" s="198">
        <f t="shared" si="30"/>
        <v>10.382945004316305</v>
      </c>
      <c r="L55" s="198">
        <f t="shared" si="30"/>
        <v>12.60685551367143</v>
      </c>
      <c r="M55" s="198">
        <f t="shared" si="30"/>
        <v>15.100940052725141</v>
      </c>
      <c r="N55" s="198">
        <f t="shared" si="30"/>
        <v>17.852527837546404</v>
      </c>
      <c r="O55" s="198">
        <f t="shared" si="30"/>
        <v>20.843881436577743</v>
      </c>
      <c r="P55" s="198">
        <f t="shared" si="30"/>
        <v>24.055764046884256</v>
      </c>
      <c r="Q55" s="198">
        <f t="shared" si="30"/>
        <v>27.471278840656407</v>
      </c>
      <c r="R55" s="198">
        <f t="shared" si="30"/>
        <v>31.078965511811592</v>
      </c>
      <c r="S55" s="198">
        <f t="shared" si="30"/>
        <v>34.874277555122717</v>
      </c>
      <c r="T55" s="198">
        <f t="shared" si="30"/>
        <v>38.859135585127824</v>
      </c>
      <c r="U55" s="198">
        <f t="shared" si="30"/>
        <v>43.040062578877532</v>
      </c>
      <c r="V55" s="198">
        <f t="shared" si="30"/>
        <v>47.426003628502656</v>
      </c>
      <c r="W55" s="198">
        <f t="shared" si="30"/>
        <v>52.026859057679239</v>
      </c>
      <c r="X55" s="198">
        <f t="shared" si="30"/>
        <v>56.85300707727621</v>
      </c>
      <c r="Y55" s="198">
        <f t="shared" si="30"/>
        <v>61.915326852610974</v>
      </c>
      <c r="Z55" s="198">
        <f t="shared" si="30"/>
        <v>67.225222684143731</v>
      </c>
      <c r="AA55" s="198">
        <f t="shared" si="30"/>
        <v>72.794649355355219</v>
      </c>
      <c r="AB55" s="198">
        <f t="shared" si="30"/>
        <v>78.6361387041471</v>
      </c>
      <c r="AC55" s="198">
        <f t="shared" si="30"/>
        <v>84.762827476823304</v>
      </c>
      <c r="AD55" s="198">
        <f t="shared" si="30"/>
        <v>91.188486526561789</v>
      </c>
      <c r="AE55" s="198">
        <f t="shared" si="30"/>
        <v>97.927551421273876</v>
      </c>
      <c r="AF55" s="199">
        <f t="shared" si="28"/>
        <v>104.99515452888159</v>
      </c>
      <c r="AG55" s="180">
        <v>27</v>
      </c>
    </row>
    <row r="56" spans="1:35" x14ac:dyDescent="0.2">
      <c r="B56" s="181"/>
      <c r="C56" s="182"/>
      <c r="D56" s="133"/>
      <c r="E56" s="182"/>
      <c r="F56" s="198">
        <f t="shared" ref="F56:AE56" si="31">(G56*Pu+G57*Pd)*EXP(-r_f*delta_t)</f>
        <v>1.6622207985492088</v>
      </c>
      <c r="G56" s="198">
        <f t="shared" si="31"/>
        <v>2.2418971868946715</v>
      </c>
      <c r="H56" s="198">
        <f t="shared" si="31"/>
        <v>2.9848847251213755</v>
      </c>
      <c r="I56" s="198">
        <f t="shared" si="31"/>
        <v>3.9209885311579074</v>
      </c>
      <c r="J56" s="198">
        <f t="shared" si="31"/>
        <v>5.0793512007562054</v>
      </c>
      <c r="K56" s="198">
        <f t="shared" si="31"/>
        <v>6.4860826883061256</v>
      </c>
      <c r="L56" s="198">
        <f t="shared" si="31"/>
        <v>8.1616405034389441</v>
      </c>
      <c r="M56" s="198">
        <f t="shared" si="31"/>
        <v>10.118385019757769</v>
      </c>
      <c r="N56" s="198">
        <f t="shared" si="31"/>
        <v>12.358880385300017</v>
      </c>
      <c r="O56" s="198">
        <f t="shared" si="31"/>
        <v>14.875547241069459</v>
      </c>
      <c r="P56" s="198">
        <f t="shared" si="31"/>
        <v>17.65211574629388</v>
      </c>
      <c r="Q56" s="198">
        <f t="shared" si="31"/>
        <v>20.666927526274797</v>
      </c>
      <c r="R56" s="198">
        <f t="shared" si="31"/>
        <v>23.897537381253034</v>
      </c>
      <c r="S56" s="198">
        <f t="shared" si="31"/>
        <v>27.325457001091927</v>
      </c>
      <c r="T56" s="198">
        <f t="shared" si="31"/>
        <v>30.93958319810433</v>
      </c>
      <c r="U56" s="198">
        <f t="shared" si="31"/>
        <v>34.737184904293215</v>
      </c>
      <c r="V56" s="198">
        <f t="shared" si="31"/>
        <v>38.722352439012894</v>
      </c>
      <c r="W56" s="198">
        <f t="shared" si="31"/>
        <v>42.903089324181479</v>
      </c>
      <c r="X56" s="198">
        <f t="shared" si="31"/>
        <v>47.288840001002349</v>
      </c>
      <c r="Y56" s="198">
        <f t="shared" si="31"/>
        <v>51.889504792784308</v>
      </c>
      <c r="Z56" s="198">
        <f t="shared" si="31"/>
        <v>56.71546191002853</v>
      </c>
      <c r="AA56" s="198">
        <f t="shared" si="31"/>
        <v>61.777590517684182</v>
      </c>
      <c r="AB56" s="198">
        <f t="shared" si="31"/>
        <v>67.087294915842691</v>
      </c>
      <c r="AC56" s="198">
        <f t="shared" si="31"/>
        <v>72.656529887615534</v>
      </c>
      <c r="AD56" s="198">
        <f t="shared" si="31"/>
        <v>78.497827270534543</v>
      </c>
      <c r="AE56" s="198">
        <f t="shared" si="31"/>
        <v>84.624323810533397</v>
      </c>
      <c r="AF56" s="199">
        <f t="shared" si="28"/>
        <v>91.049790360419195</v>
      </c>
      <c r="AG56" s="180">
        <v>26</v>
      </c>
    </row>
    <row r="57" spans="1:35" x14ac:dyDescent="0.2">
      <c r="B57" s="181"/>
      <c r="C57" s="182"/>
      <c r="D57" s="182"/>
      <c r="E57" s="182"/>
      <c r="F57" s="182"/>
      <c r="G57" s="198">
        <f t="shared" ref="G57:AE57" si="32">(H57*Pu+H58*Pd)*EXP(-r_f*delta_t)</f>
        <v>1.080303978924209</v>
      </c>
      <c r="H57" s="198">
        <f t="shared" si="32"/>
        <v>1.4963494738676024</v>
      </c>
      <c r="I57" s="198">
        <f t="shared" si="32"/>
        <v>2.0460034770318694</v>
      </c>
      <c r="J57" s="198">
        <f t="shared" si="32"/>
        <v>2.7598248431332388</v>
      </c>
      <c r="K57" s="198">
        <f t="shared" si="32"/>
        <v>3.6701063357802908</v>
      </c>
      <c r="L57" s="198">
        <f t="shared" si="32"/>
        <v>4.8087505321475357</v>
      </c>
      <c r="M57" s="198">
        <f t="shared" si="32"/>
        <v>6.2044655010153074</v>
      </c>
      <c r="N57" s="198">
        <f t="shared" si="32"/>
        <v>7.8795588137797212</v>
      </c>
      <c r="O57" s="198">
        <f t="shared" si="32"/>
        <v>9.846865832095185</v>
      </c>
      <c r="P57" s="198">
        <f t="shared" si="32"/>
        <v>12.107579755318312</v>
      </c>
      <c r="Q57" s="198">
        <f t="shared" si="32"/>
        <v>14.650837815162195</v>
      </c>
      <c r="R57" s="198">
        <f t="shared" si="32"/>
        <v>17.455717250280234</v>
      </c>
      <c r="S57" s="198">
        <f t="shared" si="32"/>
        <v>20.495706189246423</v>
      </c>
      <c r="T57" s="198">
        <f t="shared" si="32"/>
        <v>23.744791743628287</v>
      </c>
      <c r="U57" s="198">
        <f t="shared" si="32"/>
        <v>27.183368072034867</v>
      </c>
      <c r="V57" s="198">
        <f t="shared" si="32"/>
        <v>30.801794022981976</v>
      </c>
      <c r="W57" s="198">
        <f t="shared" si="32"/>
        <v>34.600211649597163</v>
      </c>
      <c r="X57" s="198">
        <f t="shared" si="32"/>
        <v>38.585188811512587</v>
      </c>
      <c r="Y57" s="198">
        <f t="shared" si="32"/>
        <v>42.765735059286541</v>
      </c>
      <c r="Z57" s="198">
        <f t="shared" si="32"/>
        <v>47.151294833754669</v>
      </c>
      <c r="AA57" s="198">
        <f t="shared" si="32"/>
        <v>51.751768457857516</v>
      </c>
      <c r="AB57" s="198">
        <f t="shared" si="32"/>
        <v>56.57753414172749</v>
      </c>
      <c r="AC57" s="198">
        <f t="shared" si="32"/>
        <v>61.639471049944497</v>
      </c>
      <c r="AD57" s="198">
        <f t="shared" si="32"/>
        <v>66.948983482230162</v>
      </c>
      <c r="AE57" s="198">
        <f t="shared" si="32"/>
        <v>72.518026221325627</v>
      </c>
      <c r="AF57" s="199">
        <f t="shared" si="28"/>
        <v>78.359131104391963</v>
      </c>
      <c r="AG57" s="180">
        <v>25</v>
      </c>
    </row>
    <row r="58" spans="1:35" x14ac:dyDescent="0.2">
      <c r="B58" s="181"/>
      <c r="C58" s="182"/>
      <c r="D58" s="182"/>
      <c r="E58" s="182"/>
      <c r="F58" s="182"/>
      <c r="G58" s="182"/>
      <c r="H58" s="198">
        <f t="shared" ref="H58:AE58" si="33">(I58*Pu+I59*Pd)*EXP(-r_f*delta_t)</f>
        <v>0.66233533103057962</v>
      </c>
      <c r="I58" s="198">
        <f t="shared" si="33"/>
        <v>0.94434798615048754</v>
      </c>
      <c r="J58" s="198">
        <f t="shared" si="33"/>
        <v>1.3294207590633766</v>
      </c>
      <c r="K58" s="198">
        <f t="shared" si="33"/>
        <v>1.8464434407093588</v>
      </c>
      <c r="L58" s="198">
        <f t="shared" si="33"/>
        <v>2.5281939155532984</v>
      </c>
      <c r="M58" s="198">
        <f t="shared" si="33"/>
        <v>3.4098964366709796</v>
      </c>
      <c r="N58" s="198">
        <f t="shared" si="33"/>
        <v>4.5268159023710677</v>
      </c>
      <c r="O58" s="198">
        <f t="shared" si="33"/>
        <v>5.9109070302835276</v>
      </c>
      <c r="P58" s="198">
        <f t="shared" si="33"/>
        <v>7.5868215802740009</v>
      </c>
      <c r="Q58" s="198">
        <f t="shared" si="33"/>
        <v>9.5679553184725457</v>
      </c>
      <c r="R58" s="198">
        <f t="shared" si="33"/>
        <v>11.853594639168557</v>
      </c>
      <c r="S58" s="198">
        <f t="shared" si="33"/>
        <v>14.42841380252128</v>
      </c>
      <c r="T58" s="198">
        <f t="shared" si="33"/>
        <v>17.265321891511483</v>
      </c>
      <c r="U58" s="198">
        <f t="shared" si="33"/>
        <v>20.331750097017238</v>
      </c>
      <c r="V58" s="198">
        <f t="shared" si="33"/>
        <v>23.597954653681846</v>
      </c>
      <c r="W58" s="198">
        <f t="shared" si="33"/>
        <v>27.044367991464629</v>
      </c>
      <c r="X58" s="198">
        <f t="shared" si="33"/>
        <v>30.664630395481669</v>
      </c>
      <c r="Y58" s="198">
        <f t="shared" si="33"/>
        <v>34.462857384702232</v>
      </c>
      <c r="Z58" s="198">
        <f t="shared" si="33"/>
        <v>38.447643644264915</v>
      </c>
      <c r="AA58" s="198">
        <f t="shared" si="33"/>
        <v>42.627998724359756</v>
      </c>
      <c r="AB58" s="198">
        <f t="shared" si="33"/>
        <v>47.013367065453643</v>
      </c>
      <c r="AC58" s="198">
        <f t="shared" si="33"/>
        <v>51.613648990117824</v>
      </c>
      <c r="AD58" s="198">
        <f t="shared" si="33"/>
        <v>56.43922270811494</v>
      </c>
      <c r="AE58" s="198">
        <f t="shared" si="33"/>
        <v>61.500967383654576</v>
      </c>
      <c r="AF58" s="199">
        <f t="shared" si="28"/>
        <v>66.810287316087539</v>
      </c>
      <c r="AG58" s="180">
        <v>24</v>
      </c>
    </row>
    <row r="59" spans="1:35" x14ac:dyDescent="0.2">
      <c r="B59" s="181"/>
      <c r="C59" s="182"/>
      <c r="D59" s="182"/>
      <c r="E59" s="182"/>
      <c r="F59" s="182"/>
      <c r="G59" s="182"/>
      <c r="H59" s="182"/>
      <c r="I59" s="198">
        <f t="shared" ref="I59:AE59" si="34">(J59*Pu+J60*Pd)*EXP(-r_f*delta_t)</f>
        <v>0.37882351938682263</v>
      </c>
      <c r="J59" s="198">
        <f t="shared" si="34"/>
        <v>0.55733994994825986</v>
      </c>
      <c r="K59" s="198">
        <f t="shared" si="34"/>
        <v>0.80997158523196122</v>
      </c>
      <c r="L59" s="198">
        <f t="shared" si="34"/>
        <v>1.1617547022297217</v>
      </c>
      <c r="M59" s="198">
        <f t="shared" si="34"/>
        <v>1.6430834005606159</v>
      </c>
      <c r="N59" s="198">
        <f t="shared" si="34"/>
        <v>2.2892392999591236</v>
      </c>
      <c r="O59" s="198">
        <f t="shared" si="34"/>
        <v>3.1389354232703313</v>
      </c>
      <c r="P59" s="198">
        <f t="shared" si="34"/>
        <v>4.231605580445998</v>
      </c>
      <c r="Q59" s="198">
        <f t="shared" si="34"/>
        <v>5.6033602133984415</v>
      </c>
      <c r="R59" s="198">
        <f t="shared" si="34"/>
        <v>7.2819095812093435</v>
      </c>
      <c r="S59" s="198">
        <f t="shared" si="34"/>
        <v>9.2813238548436843</v>
      </c>
      <c r="T59" s="198">
        <f t="shared" si="34"/>
        <v>11.598139424621037</v>
      </c>
      <c r="U59" s="198">
        <f t="shared" si="34"/>
        <v>14.210732607891361</v>
      </c>
      <c r="V59" s="198">
        <f t="shared" si="34"/>
        <v>17.083584911724618</v>
      </c>
      <c r="W59" s="198">
        <f t="shared" si="34"/>
        <v>20.176572280140785</v>
      </c>
      <c r="X59" s="198">
        <f t="shared" si="34"/>
        <v>23.456707621931763</v>
      </c>
      <c r="Y59" s="198">
        <f t="shared" si="34"/>
        <v>26.907013726569694</v>
      </c>
      <c r="Z59" s="198">
        <f t="shared" si="34"/>
        <v>30.527085228233993</v>
      </c>
      <c r="AA59" s="198">
        <f t="shared" si="34"/>
        <v>34.32512104977544</v>
      </c>
      <c r="AB59" s="198">
        <f t="shared" si="34"/>
        <v>38.309715875963867</v>
      </c>
      <c r="AC59" s="198">
        <f t="shared" si="34"/>
        <v>42.489879256620064</v>
      </c>
      <c r="AD59" s="198">
        <f t="shared" si="34"/>
        <v>46.875055631841093</v>
      </c>
      <c r="AE59" s="198">
        <f t="shared" si="34"/>
        <v>51.475145323827917</v>
      </c>
      <c r="AF59" s="199">
        <f t="shared" si="28"/>
        <v>56.300526541972346</v>
      </c>
      <c r="AG59" s="180">
        <v>23</v>
      </c>
    </row>
    <row r="60" spans="1:35" x14ac:dyDescent="0.2">
      <c r="B60" s="181"/>
      <c r="C60" s="182"/>
      <c r="D60" s="182"/>
      <c r="E60" s="182"/>
      <c r="F60" s="182"/>
      <c r="G60" s="182"/>
      <c r="H60" s="182"/>
      <c r="I60" s="182"/>
      <c r="J60" s="198">
        <f t="shared" ref="J60:AE60" si="35">(K60*Pu+K61*Pd)*EXP(-r_f*delta_t)</f>
        <v>0.19924502940540961</v>
      </c>
      <c r="K60" s="198">
        <f t="shared" si="35"/>
        <v>0.30326470618137014</v>
      </c>
      <c r="L60" s="198">
        <f t="shared" si="35"/>
        <v>0.45627304393322582</v>
      </c>
      <c r="M60" s="198">
        <f t="shared" si="35"/>
        <v>0.67795483632792908</v>
      </c>
      <c r="N60" s="198">
        <f t="shared" si="35"/>
        <v>0.99384357250886435</v>
      </c>
      <c r="O60" s="198">
        <f t="shared" si="35"/>
        <v>1.4358473485715837</v>
      </c>
      <c r="P60" s="198">
        <f t="shared" si="35"/>
        <v>2.0420580853091397</v>
      </c>
      <c r="Q60" s="198">
        <f t="shared" si="35"/>
        <v>2.8553827184863487</v>
      </c>
      <c r="R60" s="198">
        <f t="shared" si="35"/>
        <v>3.9205326662099265</v>
      </c>
      <c r="S60" s="198">
        <f t="shared" si="35"/>
        <v>5.2790978467495089</v>
      </c>
      <c r="T60" s="198">
        <f t="shared" si="35"/>
        <v>6.9629299113214653</v>
      </c>
      <c r="U60" s="198">
        <f t="shared" si="35"/>
        <v>8.9869314367669819</v>
      </c>
      <c r="V60" s="198">
        <f t="shared" si="35"/>
        <v>11.343478199957492</v>
      </c>
      <c r="W60" s="198">
        <f t="shared" si="35"/>
        <v>14.001612681890645</v>
      </c>
      <c r="X60" s="198">
        <f t="shared" si="35"/>
        <v>16.913876856478094</v>
      </c>
      <c r="Y60" s="198">
        <f t="shared" si="35"/>
        <v>20.030991264995869</v>
      </c>
      <c r="Z60" s="198">
        <f t="shared" si="35"/>
        <v>23.319162454684083</v>
      </c>
      <c r="AA60" s="198">
        <f t="shared" si="35"/>
        <v>26.769277391642905</v>
      </c>
      <c r="AB60" s="198">
        <f t="shared" si="35"/>
        <v>30.389157459932957</v>
      </c>
      <c r="AC60" s="198">
        <f t="shared" si="35"/>
        <v>34.187001582035748</v>
      </c>
      <c r="AD60" s="198">
        <f t="shared" si="35"/>
        <v>38.171404442351324</v>
      </c>
      <c r="AE60" s="198">
        <f t="shared" si="35"/>
        <v>42.35137559033015</v>
      </c>
      <c r="AF60" s="199">
        <f t="shared" si="28"/>
        <v>46.736359465698484</v>
      </c>
      <c r="AG60" s="180">
        <v>22</v>
      </c>
    </row>
    <row r="61" spans="1:35" x14ac:dyDescent="0.2">
      <c r="B61" s="181"/>
      <c r="C61" s="182"/>
      <c r="D61" s="182"/>
      <c r="E61" s="182"/>
      <c r="F61" s="182"/>
      <c r="G61" s="182"/>
      <c r="H61" s="182"/>
      <c r="I61" s="182"/>
      <c r="J61" s="182"/>
      <c r="K61" s="198">
        <f t="shared" ref="K61:AE61" si="36">(L61*Pu+L62*Pd)*EXP(-r_f*delta_t)</f>
        <v>9.4546406515782985E-2</v>
      </c>
      <c r="L61" s="198">
        <f t="shared" si="36"/>
        <v>0.14928614576268354</v>
      </c>
      <c r="M61" s="198">
        <f t="shared" si="36"/>
        <v>0.23323281852471531</v>
      </c>
      <c r="N61" s="198">
        <f t="shared" si="36"/>
        <v>0.36020806524359211</v>
      </c>
      <c r="O61" s="198">
        <f t="shared" si="36"/>
        <v>0.54936641514498863</v>
      </c>
      <c r="P61" s="198">
        <f t="shared" si="36"/>
        <v>0.82644787857827329</v>
      </c>
      <c r="Q61" s="198">
        <f t="shared" si="36"/>
        <v>1.2247786574212676</v>
      </c>
      <c r="R61" s="198">
        <f t="shared" si="36"/>
        <v>1.7855597395738116</v>
      </c>
      <c r="S61" s="198">
        <f t="shared" si="36"/>
        <v>2.5567861592984014</v>
      </c>
      <c r="T61" s="198">
        <f t="shared" si="36"/>
        <v>3.5900181177562582</v>
      </c>
      <c r="U61" s="198">
        <f t="shared" si="36"/>
        <v>4.9343468129950123</v>
      </c>
      <c r="V61" s="198">
        <f t="shared" si="36"/>
        <v>6.6275109817416658</v>
      </c>
      <c r="W61" s="198">
        <f t="shared" si="36"/>
        <v>8.6854756503888115</v>
      </c>
      <c r="X61" s="198">
        <f t="shared" si="36"/>
        <v>11.093893320613043</v>
      </c>
      <c r="Y61" s="198">
        <f t="shared" si="36"/>
        <v>13.807016340041603</v>
      </c>
      <c r="Z61" s="198">
        <f t="shared" si="36"/>
        <v>16.759757425323244</v>
      </c>
      <c r="AA61" s="198">
        <f t="shared" si="36"/>
        <v>19.893254930069077</v>
      </c>
      <c r="AB61" s="198">
        <f t="shared" si="36"/>
        <v>23.181234686383046</v>
      </c>
      <c r="AC61" s="198">
        <f t="shared" si="36"/>
        <v>26.631157923903213</v>
      </c>
      <c r="AD61" s="198">
        <f t="shared" si="36"/>
        <v>30.250846026320414</v>
      </c>
      <c r="AE61" s="198">
        <f t="shared" si="36"/>
        <v>34.048497915745841</v>
      </c>
      <c r="AF61" s="199">
        <f t="shared" si="28"/>
        <v>38.032708276208723</v>
      </c>
      <c r="AG61" s="180">
        <v>21</v>
      </c>
    </row>
    <row r="62" spans="1:35" x14ac:dyDescent="0.2">
      <c r="B62" s="181"/>
      <c r="C62" s="182"/>
      <c r="D62" s="182"/>
      <c r="E62" s="182"/>
      <c r="F62" s="182"/>
      <c r="G62" s="182"/>
      <c r="H62" s="182"/>
      <c r="I62" s="182"/>
      <c r="J62" s="182"/>
      <c r="K62" s="182"/>
      <c r="L62" s="198">
        <f t="shared" ref="L62:AE62" si="37">(M62*Pu+M63*Pd)*EXP(-r_f*delta_t)</f>
        <v>3.9420560501585065E-2</v>
      </c>
      <c r="M62" s="198">
        <f t="shared" si="37"/>
        <v>6.4759360876908922E-2</v>
      </c>
      <c r="N62" s="198">
        <f t="shared" si="37"/>
        <v>0.10540087903545796</v>
      </c>
      <c r="O62" s="198">
        <f t="shared" si="37"/>
        <v>0.16980914359932425</v>
      </c>
      <c r="P62" s="198">
        <f t="shared" si="37"/>
        <v>0.27052850686128432</v>
      </c>
      <c r="Q62" s="198">
        <f t="shared" si="37"/>
        <v>0.42569461473440601</v>
      </c>
      <c r="R62" s="198">
        <f t="shared" si="37"/>
        <v>0.66075849344668258</v>
      </c>
      <c r="S62" s="198">
        <f t="shared" si="37"/>
        <v>1.0101615571433307</v>
      </c>
      <c r="T62" s="198">
        <f t="shared" si="37"/>
        <v>1.5184255126752968</v>
      </c>
      <c r="U62" s="198">
        <f t="shared" si="37"/>
        <v>2.2397530776582988</v>
      </c>
      <c r="V62" s="198">
        <f t="shared" si="37"/>
        <v>3.2348600842403594</v>
      </c>
      <c r="W62" s="198">
        <f t="shared" si="37"/>
        <v>4.5636232453409642</v>
      </c>
      <c r="X62" s="198">
        <f t="shared" si="37"/>
        <v>6.2727249616408827</v>
      </c>
      <c r="Y62" s="198">
        <f t="shared" si="37"/>
        <v>8.3795509022891839</v>
      </c>
      <c r="Z62" s="198">
        <f t="shared" si="37"/>
        <v>10.857794940655404</v>
      </c>
      <c r="AA62" s="198">
        <f t="shared" si="37"/>
        <v>13.635888177756836</v>
      </c>
      <c r="AB62" s="198">
        <f t="shared" si="37"/>
        <v>16.621829657022207</v>
      </c>
      <c r="AC62" s="198">
        <f t="shared" si="37"/>
        <v>19.755135462329381</v>
      </c>
      <c r="AD62" s="198">
        <f t="shared" si="37"/>
        <v>23.042923252770496</v>
      </c>
      <c r="AE62" s="198">
        <f t="shared" si="37"/>
        <v>26.492654257613303</v>
      </c>
      <c r="AF62" s="199">
        <f t="shared" si="28"/>
        <v>30.112149860177809</v>
      </c>
      <c r="AG62" s="180">
        <v>20</v>
      </c>
    </row>
    <row r="63" spans="1:35" x14ac:dyDescent="0.2">
      <c r="B63" s="181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98">
        <f t="shared" ref="M63:AE63" si="38">(N63*Pu+N64*Pd)*EXP(-r_f*delta_t)</f>
        <v>1.389088446622057E-2</v>
      </c>
      <c r="N63" s="198">
        <f t="shared" si="38"/>
        <v>2.3815975762959143E-2</v>
      </c>
      <c r="O63" s="198">
        <f t="shared" si="38"/>
        <v>4.0521966854475434E-2</v>
      </c>
      <c r="P63" s="198">
        <f t="shared" si="38"/>
        <v>6.8367742975390944E-2</v>
      </c>
      <c r="Q63" s="198">
        <f t="shared" si="38"/>
        <v>0.11427499752011697</v>
      </c>
      <c r="R63" s="198">
        <f t="shared" si="38"/>
        <v>0.18902777776230059</v>
      </c>
      <c r="S63" s="198">
        <f t="shared" si="38"/>
        <v>0.30905105478695805</v>
      </c>
      <c r="T63" s="198">
        <f t="shared" si="38"/>
        <v>0.49868247045727204</v>
      </c>
      <c r="U63" s="198">
        <f t="shared" si="38"/>
        <v>0.79277217275526224</v>
      </c>
      <c r="V63" s="198">
        <f t="shared" si="38"/>
        <v>1.2390839314651398</v>
      </c>
      <c r="W63" s="198">
        <f t="shared" si="38"/>
        <v>1.899352444366462</v>
      </c>
      <c r="X63" s="198">
        <f t="shared" si="38"/>
        <v>2.8469729550684617</v>
      </c>
      <c r="Y63" s="198">
        <f t="shared" si="38"/>
        <v>4.1584032671932789</v>
      </c>
      <c r="Z63" s="198">
        <f t="shared" si="38"/>
        <v>5.8952886553459267</v>
      </c>
      <c r="AA63" s="198">
        <f t="shared" si="38"/>
        <v>8.0770500710233293</v>
      </c>
      <c r="AB63" s="198">
        <f t="shared" si="38"/>
        <v>10.652593347070182</v>
      </c>
      <c r="AC63" s="198">
        <f t="shared" si="38"/>
        <v>13.497768710017139</v>
      </c>
      <c r="AD63" s="198">
        <f t="shared" si="38"/>
        <v>16.483518223409654</v>
      </c>
      <c r="AE63" s="198">
        <f t="shared" si="38"/>
        <v>19.616631796039467</v>
      </c>
      <c r="AF63" s="199">
        <f t="shared" si="28"/>
        <v>22.904227086627898</v>
      </c>
      <c r="AG63" s="180">
        <v>19</v>
      </c>
    </row>
    <row r="64" spans="1:35" x14ac:dyDescent="0.2">
      <c r="B64" s="181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98">
        <f t="shared" ref="N64:AE64" si="39">(O64*Pu+O65*Pd)*EXP(-r_f*delta_t)</f>
        <v>3.8866939982195921E-3</v>
      </c>
      <c r="O64" s="198">
        <f t="shared" si="39"/>
        <v>6.9780599334856846E-3</v>
      </c>
      <c r="P64" s="198">
        <f t="shared" si="39"/>
        <v>1.2458604123372206E-2</v>
      </c>
      <c r="Q64" s="198">
        <f t="shared" si="39"/>
        <v>2.2106137867518659E-2</v>
      </c>
      <c r="R64" s="198">
        <f t="shared" si="39"/>
        <v>3.8953458414520373E-2</v>
      </c>
      <c r="S64" s="198">
        <f t="shared" si="39"/>
        <v>6.8106811980108414E-2</v>
      </c>
      <c r="T64" s="198">
        <f t="shared" si="39"/>
        <v>0.11803039943492362</v>
      </c>
      <c r="U64" s="198">
        <f t="shared" si="39"/>
        <v>0.20249248849162313</v>
      </c>
      <c r="V64" s="198">
        <f t="shared" si="39"/>
        <v>0.34337359983584659</v>
      </c>
      <c r="W64" s="198">
        <f t="shared" si="39"/>
        <v>0.57443411502399022</v>
      </c>
      <c r="X64" s="198">
        <f t="shared" si="39"/>
        <v>0.94578224619132545</v>
      </c>
      <c r="Y64" s="198">
        <f t="shared" si="39"/>
        <v>1.5279195136286319</v>
      </c>
      <c r="Z64" s="198">
        <f t="shared" si="39"/>
        <v>2.4125060623483945</v>
      </c>
      <c r="AA64" s="198">
        <f t="shared" si="39"/>
        <v>3.7040856213148716</v>
      </c>
      <c r="AB64" s="198">
        <f t="shared" si="39"/>
        <v>5.4934865065953868</v>
      </c>
      <c r="AC64" s="198">
        <f t="shared" si="39"/>
        <v>7.8033954161898462</v>
      </c>
      <c r="AD64" s="198">
        <f t="shared" si="39"/>
        <v>10.514281913457625</v>
      </c>
      <c r="AE64" s="198">
        <f t="shared" si="39"/>
        <v>13.359265043727222</v>
      </c>
      <c r="AF64" s="199">
        <f t="shared" si="28"/>
        <v>16.344822057267038</v>
      </c>
      <c r="AG64" s="180">
        <v>18</v>
      </c>
    </row>
    <row r="65" spans="2:33" x14ac:dyDescent="0.2">
      <c r="B65" s="181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33"/>
      <c r="O65" s="198">
        <f t="shared" ref="O65:AE65" si="40">(P65*Pu+P66*Pd)*EXP(-r_f*delta_t)</f>
        <v>7.6946101270667364E-4</v>
      </c>
      <c r="P65" s="198">
        <f t="shared" si="40"/>
        <v>1.4519019183177968E-3</v>
      </c>
      <c r="Q65" s="198">
        <f t="shared" si="40"/>
        <v>2.7312644855693982E-3</v>
      </c>
      <c r="R65" s="198">
        <f t="shared" si="40"/>
        <v>5.1204320568065519E-3</v>
      </c>
      <c r="S65" s="198">
        <f t="shared" si="40"/>
        <v>9.5625942207164857E-3</v>
      </c>
      <c r="T65" s="198">
        <f t="shared" si="40"/>
        <v>1.7780417718994548E-2</v>
      </c>
      <c r="U65" s="198">
        <f t="shared" si="40"/>
        <v>3.2894675441156498E-2</v>
      </c>
      <c r="V65" s="198">
        <f t="shared" si="40"/>
        <v>6.0503482292312574E-2</v>
      </c>
      <c r="W65" s="198">
        <f t="shared" si="40"/>
        <v>0.11052751093606107</v>
      </c>
      <c r="X65" s="198">
        <f t="shared" si="40"/>
        <v>0.20027945046249709</v>
      </c>
      <c r="Y65" s="198">
        <f t="shared" si="40"/>
        <v>0.3593719822002972</v>
      </c>
      <c r="Z65" s="198">
        <f t="shared" si="40"/>
        <v>0.63709370895577844</v>
      </c>
      <c r="AA65" s="198">
        <f t="shared" si="40"/>
        <v>1.1123243966881529</v>
      </c>
      <c r="AB65" s="198">
        <f t="shared" si="40"/>
        <v>1.9037784969786078</v>
      </c>
      <c r="AC65" s="198">
        <f t="shared" si="40"/>
        <v>3.1714896562058752</v>
      </c>
      <c r="AD65" s="198">
        <f t="shared" si="40"/>
        <v>5.0821151293428128</v>
      </c>
      <c r="AE65" s="198">
        <f t="shared" si="40"/>
        <v>7.6648917498999216</v>
      </c>
      <c r="AF65" s="199">
        <f t="shared" si="28"/>
        <v>10.375585747315029</v>
      </c>
      <c r="AG65" s="180">
        <v>17</v>
      </c>
    </row>
    <row r="66" spans="2:33" x14ac:dyDescent="0.2">
      <c r="B66" s="181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98">
        <f t="shared" ref="P66:AE66" si="41">(Q66*Pu+Q67*Pd)*EXP(-r_f*delta_t)</f>
        <v>8.1062155401308715E-5</v>
      </c>
      <c r="Q66" s="198">
        <f t="shared" si="41"/>
        <v>1.6139635663644706E-4</v>
      </c>
      <c r="R66" s="198">
        <f t="shared" si="41"/>
        <v>3.2134334211274458E-4</v>
      </c>
      <c r="S66" s="198">
        <f t="shared" si="41"/>
        <v>6.3980095754447497E-4</v>
      </c>
      <c r="T66" s="198">
        <f t="shared" si="41"/>
        <v>1.2738563761224798E-3</v>
      </c>
      <c r="U66" s="198">
        <f t="shared" si="41"/>
        <v>2.5362732703867455E-3</v>
      </c>
      <c r="V66" s="198">
        <f t="shared" si="41"/>
        <v>5.0497703058635717E-3</v>
      </c>
      <c r="W66" s="198">
        <f t="shared" si="41"/>
        <v>1.0054192676995354E-2</v>
      </c>
      <c r="X66" s="198">
        <f t="shared" si="41"/>
        <v>2.0018096717937736E-2</v>
      </c>
      <c r="Y66" s="198">
        <f t="shared" si="41"/>
        <v>3.9856426973554279E-2</v>
      </c>
      <c r="Z66" s="198">
        <f t="shared" si="41"/>
        <v>7.9354935360803666E-2</v>
      </c>
      <c r="AA66" s="198">
        <f t="shared" si="41"/>
        <v>0.15799724772859544</v>
      </c>
      <c r="AB66" s="198">
        <f t="shared" si="41"/>
        <v>0.31457564896639517</v>
      </c>
      <c r="AC66" s="198">
        <f t="shared" si="41"/>
        <v>0.62632634647292407</v>
      </c>
      <c r="AD66" s="198">
        <f t="shared" si="41"/>
        <v>1.2470281586481842</v>
      </c>
      <c r="AE66" s="198">
        <f t="shared" si="41"/>
        <v>2.4828577581299411</v>
      </c>
      <c r="AF66" s="199">
        <f t="shared" si="28"/>
        <v>4.9434189632001804</v>
      </c>
      <c r="AG66" s="180">
        <v>16</v>
      </c>
    </row>
    <row r="67" spans="2:33" x14ac:dyDescent="0.2">
      <c r="B67" s="181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33"/>
      <c r="Q67" s="198">
        <f t="shared" ref="Q67:AE67" si="42">(R67*Pu+R68*Pd)*EXP(-r_f*delta_t)</f>
        <v>0</v>
      </c>
      <c r="R67" s="198">
        <f t="shared" si="42"/>
        <v>0</v>
      </c>
      <c r="S67" s="198">
        <f t="shared" si="42"/>
        <v>0</v>
      </c>
      <c r="T67" s="198">
        <f t="shared" si="42"/>
        <v>0</v>
      </c>
      <c r="U67" s="198">
        <f t="shared" si="42"/>
        <v>0</v>
      </c>
      <c r="V67" s="198">
        <f t="shared" si="42"/>
        <v>0</v>
      </c>
      <c r="W67" s="198">
        <f t="shared" si="42"/>
        <v>0</v>
      </c>
      <c r="X67" s="198">
        <f t="shared" si="42"/>
        <v>0</v>
      </c>
      <c r="Y67" s="198">
        <f t="shared" si="42"/>
        <v>0</v>
      </c>
      <c r="Z67" s="198">
        <f t="shared" si="42"/>
        <v>0</v>
      </c>
      <c r="AA67" s="198">
        <f t="shared" si="42"/>
        <v>0</v>
      </c>
      <c r="AB67" s="198">
        <f t="shared" si="42"/>
        <v>0</v>
      </c>
      <c r="AC67" s="198">
        <f t="shared" si="42"/>
        <v>0</v>
      </c>
      <c r="AD67" s="198">
        <f t="shared" si="42"/>
        <v>0</v>
      </c>
      <c r="AE67" s="198">
        <f t="shared" si="42"/>
        <v>0</v>
      </c>
      <c r="AF67" s="199">
        <f t="shared" si="28"/>
        <v>0</v>
      </c>
      <c r="AG67" s="180">
        <v>15</v>
      </c>
    </row>
    <row r="68" spans="2:33" x14ac:dyDescent="0.2">
      <c r="B68" s="181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98">
        <f t="shared" ref="R68:AE68" si="43">(S68*Pu+S69*Pd)*EXP(-r_f*delta_t)</f>
        <v>0</v>
      </c>
      <c r="S68" s="198">
        <f t="shared" si="43"/>
        <v>0</v>
      </c>
      <c r="T68" s="198">
        <f t="shared" si="43"/>
        <v>0</v>
      </c>
      <c r="U68" s="198">
        <f t="shared" si="43"/>
        <v>0</v>
      </c>
      <c r="V68" s="198">
        <f t="shared" si="43"/>
        <v>0</v>
      </c>
      <c r="W68" s="198">
        <f t="shared" si="43"/>
        <v>0</v>
      </c>
      <c r="X68" s="198">
        <f t="shared" si="43"/>
        <v>0</v>
      </c>
      <c r="Y68" s="198">
        <f t="shared" si="43"/>
        <v>0</v>
      </c>
      <c r="Z68" s="198">
        <f t="shared" si="43"/>
        <v>0</v>
      </c>
      <c r="AA68" s="198">
        <f t="shared" si="43"/>
        <v>0</v>
      </c>
      <c r="AB68" s="198">
        <f t="shared" si="43"/>
        <v>0</v>
      </c>
      <c r="AC68" s="198">
        <f t="shared" si="43"/>
        <v>0</v>
      </c>
      <c r="AD68" s="198">
        <f t="shared" si="43"/>
        <v>0</v>
      </c>
      <c r="AE68" s="198">
        <f t="shared" si="43"/>
        <v>0</v>
      </c>
      <c r="AF68" s="199">
        <f t="shared" si="28"/>
        <v>0</v>
      </c>
      <c r="AG68" s="180">
        <v>14</v>
      </c>
    </row>
    <row r="69" spans="2:33" x14ac:dyDescent="0.2">
      <c r="B69" s="181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98">
        <f t="shared" ref="S69:AE69" si="44">(T69*Pu+T70*Pd)*EXP(-r_f*delta_t)</f>
        <v>0</v>
      </c>
      <c r="T69" s="198">
        <f t="shared" si="44"/>
        <v>0</v>
      </c>
      <c r="U69" s="198">
        <f t="shared" si="44"/>
        <v>0</v>
      </c>
      <c r="V69" s="198">
        <f t="shared" si="44"/>
        <v>0</v>
      </c>
      <c r="W69" s="198">
        <f t="shared" si="44"/>
        <v>0</v>
      </c>
      <c r="X69" s="198">
        <f t="shared" si="44"/>
        <v>0</v>
      </c>
      <c r="Y69" s="198">
        <f t="shared" si="44"/>
        <v>0</v>
      </c>
      <c r="Z69" s="198">
        <f t="shared" si="44"/>
        <v>0</v>
      </c>
      <c r="AA69" s="198">
        <f t="shared" si="44"/>
        <v>0</v>
      </c>
      <c r="AB69" s="198">
        <f t="shared" si="44"/>
        <v>0</v>
      </c>
      <c r="AC69" s="198">
        <f t="shared" si="44"/>
        <v>0</v>
      </c>
      <c r="AD69" s="198">
        <f t="shared" si="44"/>
        <v>0</v>
      </c>
      <c r="AE69" s="198">
        <f t="shared" si="44"/>
        <v>0</v>
      </c>
      <c r="AF69" s="199">
        <f t="shared" si="28"/>
        <v>0</v>
      </c>
      <c r="AG69" s="180">
        <v>13</v>
      </c>
    </row>
    <row r="70" spans="2:33" x14ac:dyDescent="0.2">
      <c r="B70" s="181"/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2"/>
      <c r="N70" s="182"/>
      <c r="O70" s="182"/>
      <c r="P70" s="182"/>
      <c r="Q70" s="182"/>
      <c r="R70" s="182"/>
      <c r="S70" s="182"/>
      <c r="T70" s="198">
        <f t="shared" ref="T70:AE70" si="45">(U70*Pu+U71*Pd)*EXP(-r_f*delta_t)</f>
        <v>0</v>
      </c>
      <c r="U70" s="198">
        <f t="shared" si="45"/>
        <v>0</v>
      </c>
      <c r="V70" s="198">
        <f t="shared" si="45"/>
        <v>0</v>
      </c>
      <c r="W70" s="198">
        <f t="shared" si="45"/>
        <v>0</v>
      </c>
      <c r="X70" s="198">
        <f t="shared" si="45"/>
        <v>0</v>
      </c>
      <c r="Y70" s="198">
        <f t="shared" si="45"/>
        <v>0</v>
      </c>
      <c r="Z70" s="198">
        <f t="shared" si="45"/>
        <v>0</v>
      </c>
      <c r="AA70" s="198">
        <f t="shared" si="45"/>
        <v>0</v>
      </c>
      <c r="AB70" s="198">
        <f t="shared" si="45"/>
        <v>0</v>
      </c>
      <c r="AC70" s="198">
        <f t="shared" si="45"/>
        <v>0</v>
      </c>
      <c r="AD70" s="198">
        <f t="shared" si="45"/>
        <v>0</v>
      </c>
      <c r="AE70" s="198">
        <f t="shared" si="45"/>
        <v>0</v>
      </c>
      <c r="AF70" s="199">
        <f t="shared" si="28"/>
        <v>0</v>
      </c>
      <c r="AG70" s="180">
        <v>12</v>
      </c>
    </row>
    <row r="71" spans="2:33" x14ac:dyDescent="0.2">
      <c r="B71" s="181"/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2"/>
      <c r="O71" s="182"/>
      <c r="P71" s="182"/>
      <c r="Q71" s="182"/>
      <c r="R71" s="182"/>
      <c r="S71" s="182"/>
      <c r="T71" s="182"/>
      <c r="U71" s="198">
        <f t="shared" ref="U71:AE71" si="46">(V71*Pu+V72*Pd)*EXP(-r_f*delta_t)</f>
        <v>0</v>
      </c>
      <c r="V71" s="198">
        <f t="shared" si="46"/>
        <v>0</v>
      </c>
      <c r="W71" s="198">
        <f t="shared" si="46"/>
        <v>0</v>
      </c>
      <c r="X71" s="198">
        <f t="shared" si="46"/>
        <v>0</v>
      </c>
      <c r="Y71" s="198">
        <f t="shared" si="46"/>
        <v>0</v>
      </c>
      <c r="Z71" s="198">
        <f t="shared" si="46"/>
        <v>0</v>
      </c>
      <c r="AA71" s="198">
        <f t="shared" si="46"/>
        <v>0</v>
      </c>
      <c r="AB71" s="198">
        <f t="shared" si="46"/>
        <v>0</v>
      </c>
      <c r="AC71" s="198">
        <f t="shared" si="46"/>
        <v>0</v>
      </c>
      <c r="AD71" s="198">
        <f t="shared" si="46"/>
        <v>0</v>
      </c>
      <c r="AE71" s="198">
        <f t="shared" si="46"/>
        <v>0</v>
      </c>
      <c r="AF71" s="199">
        <f t="shared" si="28"/>
        <v>0</v>
      </c>
      <c r="AG71" s="180">
        <v>11</v>
      </c>
    </row>
    <row r="72" spans="2:33" x14ac:dyDescent="0.2">
      <c r="B72" s="181"/>
      <c r="C72" s="182"/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198">
        <f t="shared" ref="V72:AE72" si="47">(W72*Pu+W73*Pd)*EXP(-r_f*delta_t)</f>
        <v>0</v>
      </c>
      <c r="W72" s="198">
        <f t="shared" si="47"/>
        <v>0</v>
      </c>
      <c r="X72" s="198">
        <f t="shared" si="47"/>
        <v>0</v>
      </c>
      <c r="Y72" s="198">
        <f t="shared" si="47"/>
        <v>0</v>
      </c>
      <c r="Z72" s="198">
        <f t="shared" si="47"/>
        <v>0</v>
      </c>
      <c r="AA72" s="198">
        <f t="shared" si="47"/>
        <v>0</v>
      </c>
      <c r="AB72" s="198">
        <f t="shared" si="47"/>
        <v>0</v>
      </c>
      <c r="AC72" s="198">
        <f t="shared" si="47"/>
        <v>0</v>
      </c>
      <c r="AD72" s="198">
        <f t="shared" si="47"/>
        <v>0</v>
      </c>
      <c r="AE72" s="198">
        <f t="shared" si="47"/>
        <v>0</v>
      </c>
      <c r="AF72" s="199">
        <f t="shared" si="28"/>
        <v>0</v>
      </c>
      <c r="AG72" s="180">
        <v>10</v>
      </c>
    </row>
    <row r="73" spans="2:33" x14ac:dyDescent="0.2">
      <c r="B73" s="181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200">
        <f>X73*Pu+X74*Pd</f>
        <v>0</v>
      </c>
      <c r="X73" s="198">
        <f t="shared" ref="X73:AE74" si="48">(Y73*Pu+Y74*Pd)*EXP(-r_f*delta_t)</f>
        <v>0</v>
      </c>
      <c r="Y73" s="198">
        <f t="shared" si="48"/>
        <v>0</v>
      </c>
      <c r="Z73" s="198">
        <f t="shared" si="48"/>
        <v>0</v>
      </c>
      <c r="AA73" s="198">
        <f t="shared" si="48"/>
        <v>0</v>
      </c>
      <c r="AB73" s="198">
        <f t="shared" si="48"/>
        <v>0</v>
      </c>
      <c r="AC73" s="198">
        <f t="shared" si="48"/>
        <v>0</v>
      </c>
      <c r="AD73" s="198">
        <f t="shared" si="48"/>
        <v>0</v>
      </c>
      <c r="AE73" s="198">
        <f t="shared" si="48"/>
        <v>0</v>
      </c>
      <c r="AF73" s="199">
        <f t="shared" si="28"/>
        <v>0</v>
      </c>
      <c r="AG73" s="180">
        <v>9</v>
      </c>
    </row>
    <row r="74" spans="2:33" x14ac:dyDescent="0.2">
      <c r="B74" s="181"/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198">
        <f t="shared" si="48"/>
        <v>0</v>
      </c>
      <c r="Y74" s="198">
        <f t="shared" si="48"/>
        <v>0</v>
      </c>
      <c r="Z74" s="198">
        <f t="shared" si="48"/>
        <v>0</v>
      </c>
      <c r="AA74" s="198">
        <f t="shared" si="48"/>
        <v>0</v>
      </c>
      <c r="AB74" s="198">
        <f t="shared" si="48"/>
        <v>0</v>
      </c>
      <c r="AC74" s="198">
        <f t="shared" si="48"/>
        <v>0</v>
      </c>
      <c r="AD74" s="198">
        <f t="shared" si="48"/>
        <v>0</v>
      </c>
      <c r="AE74" s="198">
        <f t="shared" si="48"/>
        <v>0</v>
      </c>
      <c r="AF74" s="199">
        <f t="shared" si="28"/>
        <v>0</v>
      </c>
      <c r="AG74" s="180">
        <v>8</v>
      </c>
    </row>
    <row r="75" spans="2:33" x14ac:dyDescent="0.2">
      <c r="B75" s="181"/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82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198">
        <f t="shared" ref="Y75:AE75" si="49">(Z75*Pu+Z76*Pd)*EXP(-r_f*delta_t)</f>
        <v>0</v>
      </c>
      <c r="Z75" s="198">
        <f t="shared" si="49"/>
        <v>0</v>
      </c>
      <c r="AA75" s="198">
        <f t="shared" si="49"/>
        <v>0</v>
      </c>
      <c r="AB75" s="198">
        <f t="shared" si="49"/>
        <v>0</v>
      </c>
      <c r="AC75" s="198">
        <f t="shared" si="49"/>
        <v>0</v>
      </c>
      <c r="AD75" s="198">
        <f t="shared" si="49"/>
        <v>0</v>
      </c>
      <c r="AE75" s="198">
        <f t="shared" si="49"/>
        <v>0</v>
      </c>
      <c r="AF75" s="199">
        <f t="shared" si="28"/>
        <v>0</v>
      </c>
      <c r="AG75" s="180">
        <v>7</v>
      </c>
    </row>
    <row r="76" spans="2:33" x14ac:dyDescent="0.2">
      <c r="B76" s="181"/>
      <c r="C76" s="182"/>
      <c r="D76" s="182"/>
      <c r="E76" s="182"/>
      <c r="F76" s="182"/>
      <c r="G76" s="182"/>
      <c r="H76" s="182"/>
      <c r="I76" s="182"/>
      <c r="J76" s="182"/>
      <c r="K76" s="182"/>
      <c r="L76" s="182"/>
      <c r="M76" s="18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198">
        <f t="shared" ref="Z76:AE76" si="50">(AA76*Pu+AA77*Pd)*EXP(-r_f*delta_t)</f>
        <v>0</v>
      </c>
      <c r="AA76" s="198">
        <f t="shared" si="50"/>
        <v>0</v>
      </c>
      <c r="AB76" s="198">
        <f t="shared" si="50"/>
        <v>0</v>
      </c>
      <c r="AC76" s="198">
        <f t="shared" si="50"/>
        <v>0</v>
      </c>
      <c r="AD76" s="198">
        <f t="shared" si="50"/>
        <v>0</v>
      </c>
      <c r="AE76" s="198">
        <f t="shared" si="50"/>
        <v>0</v>
      </c>
      <c r="AF76" s="199">
        <f t="shared" si="28"/>
        <v>0</v>
      </c>
      <c r="AG76" s="180">
        <v>6</v>
      </c>
    </row>
    <row r="77" spans="2:33" x14ac:dyDescent="0.2">
      <c r="B77" s="181"/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98">
        <f>(AB77*Pu+AB78*Pd)*EXP(-r_f*delta_t)</f>
        <v>0</v>
      </c>
      <c r="AB77" s="198">
        <f>(AC77*Pu+AC78*Pd)*EXP(-r_f*delta_t)</f>
        <v>0</v>
      </c>
      <c r="AC77" s="198">
        <f>(AD77*Pu+AD78*Pd)*EXP(-r_f*delta_t)</f>
        <v>0</v>
      </c>
      <c r="AD77" s="198">
        <f>(AE77*Pu+AE78*Pd)*EXP(-r_f*delta_t)</f>
        <v>0</v>
      </c>
      <c r="AE77" s="198">
        <f>(AF77*Pu+AF78*Pd)*EXP(-r_f*delta_t)</f>
        <v>0</v>
      </c>
      <c r="AF77" s="199">
        <f t="shared" si="28"/>
        <v>0</v>
      </c>
      <c r="AG77" s="180">
        <v>5</v>
      </c>
    </row>
    <row r="78" spans="2:33" x14ac:dyDescent="0.2">
      <c r="B78" s="181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98">
        <f>(AC78*Pu+AC79*Pd)*EXP(-r_f*delta_t)</f>
        <v>0</v>
      </c>
      <c r="AC78" s="198">
        <f>(AD78*Pu+AD79*Pd)*EXP(-r_f*delta_t)</f>
        <v>0</v>
      </c>
      <c r="AD78" s="198">
        <f>(AE78*Pu+AE79*Pd)*EXP(-r_f*delta_t)</f>
        <v>0</v>
      </c>
      <c r="AE78" s="198">
        <f>(AF78*Pu+AF79*Pd)*EXP(-r_f*delta_t)</f>
        <v>0</v>
      </c>
      <c r="AF78" s="199">
        <f t="shared" si="28"/>
        <v>0</v>
      </c>
      <c r="AG78" s="180">
        <v>4</v>
      </c>
    </row>
    <row r="79" spans="2:33" x14ac:dyDescent="0.2">
      <c r="B79" s="181"/>
      <c r="C79" s="182"/>
      <c r="D79" s="182"/>
      <c r="E79" s="182"/>
      <c r="F79" s="182"/>
      <c r="G79" s="182"/>
      <c r="H79" s="182"/>
      <c r="I79" s="182"/>
      <c r="J79" s="182"/>
      <c r="K79" s="182"/>
      <c r="L79" s="182"/>
      <c r="M79" s="182"/>
      <c r="N79" s="182"/>
      <c r="O79" s="182"/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/>
      <c r="AB79" s="182"/>
      <c r="AC79" s="198">
        <f>(AD79*Pu+AD80*Pd)*EXP(-r_f*delta_t)</f>
        <v>0</v>
      </c>
      <c r="AD79" s="198">
        <f>(AE79*Pu+AE80*Pd)*EXP(-r_f*delta_t)</f>
        <v>0</v>
      </c>
      <c r="AE79" s="198">
        <f>(AF79*Pu+AF80*Pd)*EXP(-r_f*delta_t)</f>
        <v>0</v>
      </c>
      <c r="AF79" s="199">
        <f t="shared" si="28"/>
        <v>0</v>
      </c>
      <c r="AG79" s="180">
        <v>3</v>
      </c>
    </row>
    <row r="80" spans="2:33" x14ac:dyDescent="0.2">
      <c r="B80" s="181"/>
      <c r="C80" s="182"/>
      <c r="D80" s="182"/>
      <c r="E80" s="182"/>
      <c r="F80" s="182"/>
      <c r="G80" s="182"/>
      <c r="H80" s="182"/>
      <c r="I80" s="182"/>
      <c r="J80" s="182"/>
      <c r="K80" s="182"/>
      <c r="L80" s="182"/>
      <c r="M80" s="182"/>
      <c r="N80" s="182"/>
      <c r="O80" s="182"/>
      <c r="P80" s="182"/>
      <c r="Q80" s="182"/>
      <c r="R80" s="182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198">
        <f>(AE80*Pu+AE81*Pd)*EXP(-r_f*delta_t)</f>
        <v>0</v>
      </c>
      <c r="AE80" s="198">
        <f>(AF80*Pu+AF81*Pd)*EXP(-r_f*delta_t)</f>
        <v>0</v>
      </c>
      <c r="AF80" s="199">
        <f t="shared" si="28"/>
        <v>0</v>
      </c>
      <c r="AG80" s="180">
        <v>2</v>
      </c>
    </row>
    <row r="81" spans="2:33" x14ac:dyDescent="0.2">
      <c r="B81" s="181"/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2"/>
      <c r="O81" s="182"/>
      <c r="P81" s="182"/>
      <c r="Q81" s="182"/>
      <c r="R81" s="182"/>
      <c r="S81" s="182"/>
      <c r="T81" s="182"/>
      <c r="U81" s="182"/>
      <c r="V81" s="182"/>
      <c r="W81" s="182"/>
      <c r="X81" s="182"/>
      <c r="Y81" s="182"/>
      <c r="Z81" s="182"/>
      <c r="AA81" s="182"/>
      <c r="AB81" s="182"/>
      <c r="AC81" s="182"/>
      <c r="AD81" s="182"/>
      <c r="AE81" s="198">
        <f>(AF81*Pu+AF82*Pd)*EXP(-r_f*delta_t)</f>
        <v>0</v>
      </c>
      <c r="AF81" s="199">
        <f t="shared" si="28"/>
        <v>0</v>
      </c>
      <c r="AG81" s="180">
        <v>1</v>
      </c>
    </row>
    <row r="82" spans="2:33" x14ac:dyDescent="0.2">
      <c r="B82" s="183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5"/>
      <c r="AF82" s="201">
        <f t="shared" si="28"/>
        <v>0</v>
      </c>
      <c r="AG82" s="187">
        <v>0</v>
      </c>
    </row>
    <row r="83" spans="2:33" x14ac:dyDescent="0.2">
      <c r="B83" s="202"/>
      <c r="C83" s="202"/>
      <c r="D83" s="202"/>
      <c r="E83" s="202"/>
      <c r="F83" s="202"/>
      <c r="G83" s="202"/>
      <c r="H83" s="202"/>
      <c r="I83" s="202"/>
      <c r="J83" s="202"/>
      <c r="K83" s="202"/>
      <c r="L83" s="202"/>
      <c r="M83" s="202"/>
      <c r="N83" s="202"/>
      <c r="O83" s="202"/>
      <c r="P83" s="202"/>
      <c r="Q83" s="202"/>
      <c r="R83" s="202"/>
      <c r="S83" s="202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  <c r="AD83" s="202"/>
      <c r="AE83" s="202"/>
      <c r="AF83" s="202"/>
    </row>
    <row r="84" spans="2:33" x14ac:dyDescent="0.2">
      <c r="B84" s="202"/>
      <c r="C84" s="202"/>
      <c r="D84" s="202"/>
      <c r="E84" s="202"/>
      <c r="F84" s="202"/>
      <c r="G84" s="202"/>
      <c r="H84" s="202"/>
      <c r="I84" s="202"/>
      <c r="J84" s="202"/>
      <c r="K84" s="202"/>
      <c r="L84" s="202"/>
      <c r="M84" s="202"/>
      <c r="N84" s="202"/>
      <c r="O84" s="202"/>
      <c r="P84" s="202"/>
      <c r="Q84" s="202"/>
      <c r="R84" s="202"/>
      <c r="S84" s="202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  <c r="AD84" s="202"/>
      <c r="AE84" s="202"/>
      <c r="AF84" s="202"/>
    </row>
  </sheetData>
  <mergeCells count="1">
    <mergeCell ref="B1:F1"/>
  </mergeCells>
  <phoneticPr fontId="2" type="noConversion"/>
  <pageMargins left="0.2" right="0.2" top="0.59" bottom="0.56999999999999995" header="0.5" footer="0.5"/>
  <pageSetup scale="4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87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8.83203125" style="1"/>
    <col min="2" max="2" width="9.33203125" style="1" bestFit="1" customWidth="1"/>
    <col min="3" max="3" width="11.6640625" style="1" customWidth="1"/>
    <col min="4" max="4" width="14.1640625" style="1" bestFit="1" customWidth="1"/>
    <col min="5" max="5" width="15" style="1" bestFit="1" customWidth="1"/>
    <col min="6" max="6" width="11.33203125" style="1" bestFit="1" customWidth="1"/>
    <col min="7" max="16" width="9.33203125" style="1" bestFit="1" customWidth="1"/>
    <col min="17" max="17" width="9.5" style="1" bestFit="1" customWidth="1"/>
    <col min="18" max="18" width="10.1640625" style="1" bestFit="1" customWidth="1"/>
    <col min="19" max="19" width="9.5" style="1" bestFit="1" customWidth="1"/>
    <col min="20" max="31" width="10.1640625" style="1" bestFit="1" customWidth="1"/>
    <col min="32" max="32" width="10.5" style="1" bestFit="1" customWidth="1"/>
    <col min="33" max="33" width="6" style="1" customWidth="1"/>
    <col min="34" max="16384" width="8.83203125" style="1"/>
  </cols>
  <sheetData>
    <row r="1" spans="1:33" x14ac:dyDescent="0.2">
      <c r="B1" s="224" t="s">
        <v>61</v>
      </c>
      <c r="C1" s="225"/>
      <c r="D1" s="225"/>
      <c r="E1" s="225"/>
      <c r="F1" s="226"/>
    </row>
    <row r="3" spans="1:33" x14ac:dyDescent="0.2">
      <c r="B3" s="146" t="s">
        <v>6</v>
      </c>
      <c r="C3" s="147">
        <v>50</v>
      </c>
      <c r="D3" s="148"/>
      <c r="E3" s="146" t="s">
        <v>0</v>
      </c>
      <c r="F3" s="149">
        <f>EXP(C6*SQRT(C7))</f>
        <v>1.0482692303335082</v>
      </c>
    </row>
    <row r="4" spans="1:33" x14ac:dyDescent="0.2">
      <c r="B4" s="151" t="s">
        <v>5</v>
      </c>
      <c r="C4" s="152">
        <f>K</f>
        <v>50</v>
      </c>
      <c r="D4" s="153"/>
      <c r="E4" s="151" t="s">
        <v>1</v>
      </c>
      <c r="F4" s="154">
        <f>EXP(-C6*SQRT(C7))</f>
        <v>0.9539534034418321</v>
      </c>
      <c r="I4" s="155"/>
    </row>
    <row r="5" spans="1:33" ht="18" x14ac:dyDescent="0.25">
      <c r="B5" s="151" t="s">
        <v>110</v>
      </c>
      <c r="C5" s="203">
        <v>0.1</v>
      </c>
      <c r="D5" s="157" t="s">
        <v>16</v>
      </c>
      <c r="E5" s="151" t="s">
        <v>2</v>
      </c>
      <c r="F5" s="154">
        <f>EXP(C5*C7)</f>
        <v>1.0013898538417474</v>
      </c>
      <c r="I5" s="158"/>
    </row>
    <row r="6" spans="1:33" x14ac:dyDescent="0.2">
      <c r="B6" s="151" t="s">
        <v>109</v>
      </c>
      <c r="C6" s="203">
        <v>0.4</v>
      </c>
      <c r="D6" s="157" t="s">
        <v>16</v>
      </c>
      <c r="E6" s="151" t="s">
        <v>3</v>
      </c>
      <c r="F6" s="154">
        <f>(F5-F4)/(F3-F4)</f>
        <v>0.50295323662270564</v>
      </c>
    </row>
    <row r="7" spans="1:33" x14ac:dyDescent="0.2">
      <c r="B7" s="159" t="s">
        <v>7</v>
      </c>
      <c r="C7" s="204">
        <f>5/12/30</f>
        <v>1.388888888888889E-2</v>
      </c>
      <c r="D7" s="161" t="s">
        <v>17</v>
      </c>
      <c r="E7" s="159" t="s">
        <v>4</v>
      </c>
      <c r="F7" s="162">
        <f>1-Pu_1</f>
        <v>0.49704676337729436</v>
      </c>
    </row>
    <row r="8" spans="1:33" x14ac:dyDescent="0.2">
      <c r="B8" s="17"/>
      <c r="C8" s="205"/>
      <c r="E8" s="17"/>
      <c r="F8" s="202"/>
    </row>
    <row r="9" spans="1:33" x14ac:dyDescent="0.2">
      <c r="E9" s="17" t="s">
        <v>8</v>
      </c>
      <c r="F9" s="165">
        <f>B52</f>
        <v>4.2634266332395301</v>
      </c>
    </row>
    <row r="11" spans="1:33" x14ac:dyDescent="0.2">
      <c r="B11" s="167" t="s">
        <v>11</v>
      </c>
      <c r="C11" s="168"/>
      <c r="D11" s="169"/>
      <c r="E11" s="17"/>
      <c r="F11" s="166"/>
    </row>
    <row r="12" spans="1:33" x14ac:dyDescent="0.2">
      <c r="B12" s="131"/>
      <c r="C12" s="20"/>
      <c r="D12" s="20"/>
      <c r="E12" s="17"/>
      <c r="F12" s="166"/>
    </row>
    <row r="13" spans="1:33" x14ac:dyDescent="0.2">
      <c r="A13" s="170" t="s">
        <v>14</v>
      </c>
      <c r="B13" s="170">
        <v>0</v>
      </c>
      <c r="C13" s="170">
        <v>1</v>
      </c>
      <c r="D13" s="170">
        <v>2</v>
      </c>
      <c r="E13" s="170">
        <v>3</v>
      </c>
      <c r="F13" s="170">
        <v>4</v>
      </c>
      <c r="G13" s="170">
        <v>5</v>
      </c>
      <c r="H13" s="170">
        <v>6</v>
      </c>
      <c r="I13" s="170">
        <v>7</v>
      </c>
      <c r="J13" s="170">
        <v>8</v>
      </c>
      <c r="K13" s="170">
        <v>9</v>
      </c>
      <c r="L13" s="170">
        <v>10</v>
      </c>
      <c r="M13" s="170">
        <v>11</v>
      </c>
      <c r="N13" s="170">
        <v>12</v>
      </c>
      <c r="O13" s="170">
        <v>13</v>
      </c>
      <c r="P13" s="170">
        <v>14</v>
      </c>
      <c r="Q13" s="170">
        <v>15</v>
      </c>
      <c r="R13" s="170">
        <v>16</v>
      </c>
      <c r="S13" s="170">
        <v>17</v>
      </c>
      <c r="T13" s="170">
        <v>18</v>
      </c>
      <c r="U13" s="170">
        <v>19</v>
      </c>
      <c r="V13" s="170">
        <v>20</v>
      </c>
      <c r="W13" s="170">
        <v>21</v>
      </c>
      <c r="X13" s="170">
        <v>22</v>
      </c>
      <c r="Y13" s="170">
        <v>23</v>
      </c>
      <c r="Z13" s="170">
        <v>24</v>
      </c>
      <c r="AA13" s="170">
        <v>25</v>
      </c>
      <c r="AB13" s="170">
        <v>26</v>
      </c>
      <c r="AC13" s="170">
        <v>27</v>
      </c>
      <c r="AD13" s="170">
        <v>28</v>
      </c>
      <c r="AE13" s="170">
        <v>29</v>
      </c>
      <c r="AF13" s="171">
        <v>30</v>
      </c>
      <c r="AG13" s="170" t="s">
        <v>15</v>
      </c>
    </row>
    <row r="14" spans="1:33" x14ac:dyDescent="0.2">
      <c r="B14" s="172" t="s">
        <v>10</v>
      </c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4"/>
    </row>
    <row r="15" spans="1:33" x14ac:dyDescent="0.2">
      <c r="B15" s="175">
        <v>30</v>
      </c>
      <c r="C15" s="206">
        <v>29</v>
      </c>
      <c r="D15" s="206">
        <v>28</v>
      </c>
      <c r="E15" s="206">
        <v>27</v>
      </c>
      <c r="F15" s="206">
        <v>26</v>
      </c>
      <c r="G15" s="206">
        <v>25</v>
      </c>
      <c r="H15" s="206">
        <v>24</v>
      </c>
      <c r="I15" s="206">
        <v>23</v>
      </c>
      <c r="J15" s="206">
        <v>22</v>
      </c>
      <c r="K15" s="206">
        <v>21</v>
      </c>
      <c r="L15" s="206">
        <v>20</v>
      </c>
      <c r="M15" s="206">
        <v>19</v>
      </c>
      <c r="N15" s="206">
        <v>18</v>
      </c>
      <c r="O15" s="206">
        <v>17</v>
      </c>
      <c r="P15" s="206">
        <v>16</v>
      </c>
      <c r="Q15" s="206">
        <v>15</v>
      </c>
      <c r="R15" s="206">
        <v>14</v>
      </c>
      <c r="S15" s="206">
        <v>13</v>
      </c>
      <c r="T15" s="206">
        <v>12</v>
      </c>
      <c r="U15" s="206">
        <v>11</v>
      </c>
      <c r="V15" s="206">
        <v>10</v>
      </c>
      <c r="W15" s="206">
        <v>9</v>
      </c>
      <c r="X15" s="206">
        <v>8</v>
      </c>
      <c r="Y15" s="206">
        <v>7</v>
      </c>
      <c r="Z15" s="206">
        <v>6</v>
      </c>
      <c r="AA15" s="206">
        <v>5</v>
      </c>
      <c r="AB15" s="206">
        <v>4</v>
      </c>
      <c r="AC15" s="206">
        <v>3</v>
      </c>
      <c r="AD15" s="206">
        <v>2</v>
      </c>
      <c r="AE15" s="206">
        <v>1</v>
      </c>
      <c r="AF15" s="206">
        <v>0</v>
      </c>
      <c r="AG15" s="177" t="s">
        <v>18</v>
      </c>
    </row>
    <row r="16" spans="1:33" x14ac:dyDescent="0.2">
      <c r="B16" s="207">
        <f>Stockprice_Put</f>
        <v>50</v>
      </c>
      <c r="C16" s="208">
        <f>IF($B$16&lt;&gt;"",Stockprice_Put*(u_put^(AG16-$C$15))*(d_put^($C$13-AG16+$C$15)),"")</f>
        <v>52.413461516675412</v>
      </c>
      <c r="D16" s="208">
        <f>IF($C$16&lt;&gt;"",Stockprice_Put*(u_put^(AG16-$D$15))*(d_put^($D$13-AG16+$D$15)),"")</f>
        <v>54.943418963200273</v>
      </c>
      <c r="E16" s="208">
        <f>IF($D$16&lt;&gt;"",Stockprice_Put*(u_put^(AG16-$E$15))*(d_put^($E$13-AG16+$E$15)),"")</f>
        <v>57.595495508445424</v>
      </c>
      <c r="F16" s="208">
        <f>IF($E$16&lt;&gt;"",Stockprice_Put*(u_put^(AG16-$F$15))*(d_put^($F$13-AG16+$F$15)),"")</f>
        <v>60.375585747315107</v>
      </c>
      <c r="G16" s="208">
        <f t="shared" ref="G16:G21" si="0">IF($F$16&lt;&gt;"",Stockprice_Put*(u_put^(AG16-$G$15))*(d_put^($G$13-AG16+$G$15)),"")</f>
        <v>63.289868802272728</v>
      </c>
      <c r="H16" s="208">
        <f t="shared" ref="H16:H22" si="1">IF($G$16&lt;&gt;"",Stockprice_Put*(u_put^(AG16-$H$15))*(d_put^($H$13-AG16+$H$15)),"")</f>
        <v>66.344822057267137</v>
      </c>
      <c r="I16" s="208">
        <f t="shared" ref="I16:I23" si="2">IF($H$16&lt;&gt;"",Stockprice_Put*(u_put^(AG16-$I$15))*(d_put^($I$13-AG16+$I$15)),"")</f>
        <v>69.547235554584987</v>
      </c>
      <c r="J16" s="208">
        <f t="shared" ref="J16:J24" si="3">IF($I$16&lt;&gt;"",Stockprice_Put*(u_put^(AG16-$J$15))*(d_put^($J$13-AG16+$J$15)),"")</f>
        <v>72.904227086627984</v>
      </c>
      <c r="K16" s="208">
        <f t="shared" ref="K16:K25" si="4">IF($J$16&lt;&gt;"",Stockprice_Put*(u_put^(AG16-$K$15))*(d_put^($K$13-AG16+$K$15)),"")</f>
        <v>76.423258016158812</v>
      </c>
      <c r="L16" s="208">
        <f t="shared" ref="L16:L26" si="5">IF($K$16&lt;&gt;"",Stockprice_Put*(u_put^(AG16-$L$15))*(d_put^($L$13-AG16+$L$15)),"")</f>
        <v>80.112149860177894</v>
      </c>
      <c r="M16" s="208">
        <f t="shared" ref="M16:M27" si="6">IF($L$16&lt;&gt;"",Stockprice_Put*(u_put^(AG16-$M$15))*(d_put^($M$13-AG16+$M$15)),"")</f>
        <v>83.979101674291343</v>
      </c>
      <c r="N16" s="208">
        <f t="shared" ref="N16:N28" si="7">IF($M$16&lt;&gt;"",Stockprice_Put*(u_put^(AG16-$N$15))*(d_put^($N$13-AG16+$N$15)),"")</f>
        <v>88.032708276208808</v>
      </c>
      <c r="O16" s="208">
        <f t="shared" ref="O16:O29" si="8">IF($N$16&lt;&gt;"",Stockprice_Put*(u_put^(AG16-$O$15))*(d_put^($O$13-AG16+$O$15)),"")</f>
        <v>92.281979348875652</v>
      </c>
      <c r="P16" s="208">
        <f t="shared" ref="P16:P30" si="9">IF($O$16&lt;&gt;"",Stockprice_Put*(u_put^(AG16-$P$15))*(d_put^($P$13-AG16+$P$15)),"")</f>
        <v>96.73635946569857</v>
      </c>
      <c r="Q16" s="208">
        <f t="shared" ref="Q16:Q31" si="10">IF($P$16&lt;&gt;"",Stockprice_Put*(u_put^(AG16-$Q$15))*(d_put^($Q$13-AG16+$Q$15)),"")</f>
        <v>101.40574908237343</v>
      </c>
      <c r="R16" s="208">
        <f t="shared" ref="R16:R32" si="11">IF($Q$16&lt;&gt;"",Stockprice_Put*(u_put^(AG16-$R$15))*(d_put^($R$13-AG16+$R$15)),"")</f>
        <v>106.30052654197242</v>
      </c>
      <c r="S16" s="208">
        <f t="shared" ref="S16:S33" si="12">IF($R$16&lt;&gt;"",Stockprice_Put*(u_put^(AG16-$S$15))*(d_put^($S$13-AG16+$S$15)),"")</f>
        <v>111.43157114220008</v>
      </c>
      <c r="T16" s="208">
        <f t="shared" ref="T16:T34" si="13">IF($S$16&lt;&gt;"",Stockprice_Put*(u_put^(AG16-$T$15))*(d_put^($T$13-AG16+$T$15)),"")</f>
        <v>116.81028731608762</v>
      </c>
      <c r="U16" s="208">
        <f t="shared" ref="U16:U35" si="14">IF($T$16&lt;&gt;"",Stockprice_Put*(u_put^(AG16-$U$15))*(d_put^($U$13-AG16+$U$15)),"")</f>
        <v>122.44862997987111</v>
      </c>
      <c r="V16" s="208">
        <f t="shared" ref="V16:V36" si="15">IF($U$16&lt;&gt;"",Stockprice_Put*(u_put^(AG16-$V$15))*(d_put^($V$13-AG16+$V$15)),"")</f>
        <v>128.35913110439202</v>
      </c>
      <c r="W16" s="208">
        <f t="shared" ref="W16:W37" si="16">IF($V$16&lt;&gt;"",Stockprice_Put*(u_put^(AG16-$W$15))*(d_put^($W$13-AG16+$W$15)),"")</f>
        <v>134.5549275690789</v>
      </c>
      <c r="X16" s="208">
        <f t="shared" ref="X16:X38" si="17">IF($W$16&lt;&gt;"",Stockprice_Put*(u_put^(AG16-$X$15))*(d_put^($X$13-AG16+$X$15)),"")</f>
        <v>141.04979036041925</v>
      </c>
      <c r="Y16" s="208">
        <f t="shared" ref="Y16:Y39" si="18">IF($X$16&lt;&gt;"",Stockprice_Put*(u_put^(AG16-$Y$15))*(d_put^($Y$13-AG16+$Y$15)),"")</f>
        <v>147.85815517981936</v>
      </c>
      <c r="Z16" s="208">
        <f t="shared" ref="Z16:Z40" si="19">IF($Y$16&lt;&gt;"",Stockprice_Put*(u_put^(AG16-$Z$15))*(d_put^($Z$13-AG16+$Z$15)),"")</f>
        <v>154.99515452888164</v>
      </c>
      <c r="AA16" s="208">
        <f t="shared" ref="AA16:AA41" si="20">IF($Z$16&lt;&gt;"",Stockprice_Put*(u_put^(AG16-$AA$15))*(d_put^($AA$13-AG16+$AA$15)),"")</f>
        <v>162.47665134341392</v>
      </c>
      <c r="AB16" s="208">
        <f t="shared" ref="AB16:AB42" si="21">IF($AA$16&lt;&gt;"",Stockprice_Put*(u_put^(AG16-$AB$15))*(d_put^($AB$13-AG16+$AB$15)),"")</f>
        <v>170.31927425092624</v>
      </c>
      <c r="AC16" s="208">
        <f t="shared" ref="AC16:AC43" si="22">IF($AB$16&lt;&gt;"",Stockprice_Put*(u_put^(AG16-$AC$15))*(d_put^($AC$13-AG16+$AC$15)),"")</f>
        <v>178.54045452998014</v>
      </c>
      <c r="AD16" s="208">
        <f t="shared" ref="AD16:AD44" si="23">IF($AC$16&lt;&gt;"",Stockprice_Put*(u_put^(AG16-$AD$15))*(d_put^($AD$13-AG16+$AD$15)),"")</f>
        <v>187.15846485353697</v>
      </c>
      <c r="AE16" s="208">
        <f t="shared" ref="AE16:AE45" si="24">IF($AD$16&lt;&gt;"",Stockprice_Put*(u_put^(AG16-$AE$15))*(d_put^($AE$13-AG16+$AE$15)),"")</f>
        <v>196.19245990241814</v>
      </c>
      <c r="AF16" s="208">
        <f t="shared" ref="AF16:AF46" si="25">IF($AE$16&lt;&gt;"",Stockprice_Put*(u_put^(AG16-$AF$15))*(d_put^($AF$13-AG16+$AF$15)),"")</f>
        <v>205.66251893914554</v>
      </c>
      <c r="AG16" s="196">
        <v>30</v>
      </c>
    </row>
    <row r="17" spans="2:33" x14ac:dyDescent="0.2">
      <c r="B17" s="209"/>
      <c r="C17" s="179">
        <f>IF($B$16&lt;&gt;"",Stockprice_Put*(u_put^(AG17-$C$15))*(d_put^($C$13-AG17+$C$15)),"")</f>
        <v>47.697670172091605</v>
      </c>
      <c r="D17" s="179">
        <f>IF($C$16&lt;&gt;"",Stockprice_Put*(u_put^(AG17-$D$15))*(d_put^($D$13-AG17+$D$15)),"")</f>
        <v>50</v>
      </c>
      <c r="E17" s="179">
        <f>IF($D$16&lt;&gt;"",Stockprice_Put*(u_put^(AG17-$E$15))*(d_put^($E$13-AG17+$E$15)),"")</f>
        <v>52.413461516675397</v>
      </c>
      <c r="F17" s="179">
        <f>IF($E$16&lt;&gt;"",Stockprice_Put*(u_put^(AG17-$F$15))*(d_put^($F$13-AG17+$F$15)),"")</f>
        <v>54.943418963200266</v>
      </c>
      <c r="G17" s="179">
        <f t="shared" si="0"/>
        <v>57.595495508445417</v>
      </c>
      <c r="H17" s="179">
        <f t="shared" si="1"/>
        <v>60.3755857473151</v>
      </c>
      <c r="I17" s="179">
        <f t="shared" si="2"/>
        <v>63.289868802272721</v>
      </c>
      <c r="J17" s="179">
        <f t="shared" si="3"/>
        <v>66.344822057267137</v>
      </c>
      <c r="K17" s="179">
        <f t="shared" si="4"/>
        <v>69.547235554584972</v>
      </c>
      <c r="L17" s="179">
        <f t="shared" si="5"/>
        <v>72.904227086627969</v>
      </c>
      <c r="M17" s="179">
        <f t="shared" si="6"/>
        <v>76.423258016158798</v>
      </c>
      <c r="N17" s="179">
        <f t="shared" si="7"/>
        <v>80.112149860177894</v>
      </c>
      <c r="O17" s="179">
        <f t="shared" si="8"/>
        <v>83.979101674291329</v>
      </c>
      <c r="P17" s="179">
        <f t="shared" si="9"/>
        <v>88.032708276208794</v>
      </c>
      <c r="Q17" s="179">
        <f t="shared" si="10"/>
        <v>92.281979348875637</v>
      </c>
      <c r="R17" s="179">
        <f t="shared" si="11"/>
        <v>96.736359465698584</v>
      </c>
      <c r="S17" s="179">
        <f t="shared" si="12"/>
        <v>101.40574908237339</v>
      </c>
      <c r="T17" s="179">
        <f t="shared" si="13"/>
        <v>106.30052654197242</v>
      </c>
      <c r="U17" s="179">
        <f t="shared" si="14"/>
        <v>111.43157114220006</v>
      </c>
      <c r="V17" s="179">
        <f t="shared" si="15"/>
        <v>116.81028731608761</v>
      </c>
      <c r="W17" s="179">
        <f t="shared" si="16"/>
        <v>122.4486299798711</v>
      </c>
      <c r="X17" s="179">
        <f t="shared" si="17"/>
        <v>128.35913110439202</v>
      </c>
      <c r="Y17" s="179">
        <f t="shared" si="18"/>
        <v>134.55492756907887</v>
      </c>
      <c r="Z17" s="179">
        <f t="shared" si="19"/>
        <v>141.04979036041925</v>
      </c>
      <c r="AA17" s="179">
        <f t="shared" si="20"/>
        <v>147.85815517981933</v>
      </c>
      <c r="AB17" s="179">
        <f t="shared" si="21"/>
        <v>154.99515452888164</v>
      </c>
      <c r="AC17" s="179">
        <f t="shared" si="22"/>
        <v>162.47665134341389</v>
      </c>
      <c r="AD17" s="179">
        <f t="shared" si="23"/>
        <v>170.31927425092621</v>
      </c>
      <c r="AE17" s="179">
        <f t="shared" si="24"/>
        <v>178.54045452998011</v>
      </c>
      <c r="AF17" s="179">
        <f t="shared" si="25"/>
        <v>187.15846485353697</v>
      </c>
      <c r="AG17" s="180">
        <v>29</v>
      </c>
    </row>
    <row r="18" spans="2:33" x14ac:dyDescent="0.2">
      <c r="B18" s="209"/>
      <c r="C18" s="210"/>
      <c r="D18" s="179">
        <f>IF($C$16&lt;&gt;"",Stockprice_Put*(u_put^(AG18-$D$15))*(d_put^($D$13-AG18+$D$15)),"")</f>
        <v>45.501354796912743</v>
      </c>
      <c r="E18" s="179">
        <f>IF($D$16&lt;&gt;"",Stockprice_Put*(u_put^(AG18-$E$15))*(d_put^($E$13-AG18+$E$15)),"")</f>
        <v>47.697670172091605</v>
      </c>
      <c r="F18" s="179">
        <f>IF($E$16&lt;&gt;"",Stockprice_Put*(u_put^(AG18-$F$15))*(d_put^($F$13-AG18+$F$15)),"")</f>
        <v>49.999999999999993</v>
      </c>
      <c r="G18" s="179">
        <f t="shared" si="0"/>
        <v>52.413461516675397</v>
      </c>
      <c r="H18" s="179">
        <f t="shared" si="1"/>
        <v>54.943418963200259</v>
      </c>
      <c r="I18" s="179">
        <f t="shared" si="2"/>
        <v>57.59549550844541</v>
      </c>
      <c r="J18" s="179">
        <f t="shared" si="3"/>
        <v>60.375585747315093</v>
      </c>
      <c r="K18" s="179">
        <f t="shared" si="4"/>
        <v>63.289868802272728</v>
      </c>
      <c r="L18" s="179">
        <f t="shared" si="5"/>
        <v>66.344822057267123</v>
      </c>
      <c r="M18" s="179">
        <f t="shared" si="6"/>
        <v>69.547235554584958</v>
      </c>
      <c r="N18" s="179">
        <f t="shared" si="7"/>
        <v>72.904227086627969</v>
      </c>
      <c r="O18" s="179">
        <f t="shared" si="8"/>
        <v>76.423258016158798</v>
      </c>
      <c r="P18" s="179">
        <f t="shared" si="9"/>
        <v>80.11214986017788</v>
      </c>
      <c r="Q18" s="179">
        <f t="shared" si="10"/>
        <v>83.979101674291329</v>
      </c>
      <c r="R18" s="179">
        <f t="shared" si="11"/>
        <v>88.032708276208794</v>
      </c>
      <c r="S18" s="179">
        <f t="shared" si="12"/>
        <v>92.281979348875652</v>
      </c>
      <c r="T18" s="179">
        <f t="shared" si="13"/>
        <v>96.736359465698541</v>
      </c>
      <c r="U18" s="179">
        <f t="shared" si="14"/>
        <v>101.40574908237339</v>
      </c>
      <c r="V18" s="179">
        <f t="shared" si="15"/>
        <v>106.30052654197239</v>
      </c>
      <c r="W18" s="179">
        <f t="shared" si="16"/>
        <v>111.43157114220006</v>
      </c>
      <c r="X18" s="179">
        <f t="shared" si="17"/>
        <v>116.8102873160876</v>
      </c>
      <c r="Y18" s="179">
        <f t="shared" si="18"/>
        <v>122.4486299798711</v>
      </c>
      <c r="Z18" s="179">
        <f t="shared" si="19"/>
        <v>128.35913110439199</v>
      </c>
      <c r="AA18" s="179">
        <f t="shared" si="20"/>
        <v>134.55492756907887</v>
      </c>
      <c r="AB18" s="179">
        <f t="shared" si="21"/>
        <v>141.04979036041922</v>
      </c>
      <c r="AC18" s="179">
        <f t="shared" si="22"/>
        <v>147.85815517981933</v>
      </c>
      <c r="AD18" s="179">
        <f t="shared" si="23"/>
        <v>154.99515452888161</v>
      </c>
      <c r="AE18" s="179">
        <f t="shared" si="24"/>
        <v>162.47665134341386</v>
      </c>
      <c r="AF18" s="179">
        <f t="shared" si="25"/>
        <v>170.31927425092621</v>
      </c>
      <c r="AG18" s="180">
        <v>28</v>
      </c>
    </row>
    <row r="19" spans="2:33" x14ac:dyDescent="0.2">
      <c r="B19" s="209"/>
      <c r="C19" s="210"/>
      <c r="D19" s="210"/>
      <c r="E19" s="179">
        <f>IF($D$16&lt;&gt;"",Stockprice_Put*(u_put^(AG19-$E$15))*(d_put^($E$13-AG19+$E$15)),"")</f>
        <v>43.406172269729247</v>
      </c>
      <c r="F19" s="179">
        <f>IF($E$16&lt;&gt;"",Stockprice_Put*(u_put^(AG19-$F$15))*(d_put^($F$13-AG19+$F$15)),"")</f>
        <v>45.50135479691275</v>
      </c>
      <c r="G19" s="179">
        <f t="shared" si="0"/>
        <v>47.697670172091598</v>
      </c>
      <c r="H19" s="179">
        <f t="shared" si="1"/>
        <v>49.999999999999986</v>
      </c>
      <c r="I19" s="179">
        <f t="shared" si="2"/>
        <v>52.41346151667539</v>
      </c>
      <c r="J19" s="179">
        <f t="shared" si="3"/>
        <v>54.943418963200259</v>
      </c>
      <c r="K19" s="179">
        <f t="shared" si="4"/>
        <v>57.595495508445403</v>
      </c>
      <c r="L19" s="179">
        <f t="shared" si="5"/>
        <v>60.3755857473151</v>
      </c>
      <c r="M19" s="179">
        <f t="shared" si="6"/>
        <v>63.289868802272714</v>
      </c>
      <c r="N19" s="179">
        <f t="shared" si="7"/>
        <v>66.344822057267123</v>
      </c>
      <c r="O19" s="179">
        <f t="shared" si="8"/>
        <v>69.547235554584958</v>
      </c>
      <c r="P19" s="179">
        <f t="shared" si="9"/>
        <v>72.904227086627955</v>
      </c>
      <c r="Q19" s="179">
        <f t="shared" si="10"/>
        <v>76.423258016158783</v>
      </c>
      <c r="R19" s="179">
        <f t="shared" si="11"/>
        <v>80.112149860177865</v>
      </c>
      <c r="S19" s="179">
        <f t="shared" si="12"/>
        <v>83.979101674291314</v>
      </c>
      <c r="T19" s="179">
        <f t="shared" si="13"/>
        <v>88.032708276208794</v>
      </c>
      <c r="U19" s="179">
        <f t="shared" si="14"/>
        <v>92.281979348875623</v>
      </c>
      <c r="V19" s="179">
        <f t="shared" si="15"/>
        <v>96.736359465698541</v>
      </c>
      <c r="W19" s="179">
        <f t="shared" si="16"/>
        <v>101.40574908237338</v>
      </c>
      <c r="X19" s="179">
        <f t="shared" si="17"/>
        <v>106.30052654197239</v>
      </c>
      <c r="Y19" s="179">
        <f t="shared" si="18"/>
        <v>111.43157114220004</v>
      </c>
      <c r="Z19" s="179">
        <f t="shared" si="19"/>
        <v>116.8102873160876</v>
      </c>
      <c r="AA19" s="179">
        <f t="shared" si="20"/>
        <v>122.44862997987109</v>
      </c>
      <c r="AB19" s="179">
        <f t="shared" si="21"/>
        <v>128.35913110439199</v>
      </c>
      <c r="AC19" s="179">
        <f t="shared" si="22"/>
        <v>134.55492756907884</v>
      </c>
      <c r="AD19" s="179">
        <f t="shared" si="23"/>
        <v>141.04979036041922</v>
      </c>
      <c r="AE19" s="179">
        <f t="shared" si="24"/>
        <v>147.85815517981931</v>
      </c>
      <c r="AF19" s="179">
        <f t="shared" si="25"/>
        <v>154.99515452888159</v>
      </c>
      <c r="AG19" s="180">
        <v>27</v>
      </c>
    </row>
    <row r="20" spans="2:33" x14ac:dyDescent="0.2">
      <c r="B20" s="209"/>
      <c r="C20" s="210"/>
      <c r="D20" s="210"/>
      <c r="E20" s="210"/>
      <c r="F20" s="179">
        <f>IF($E$16&lt;&gt;"",Stockprice_Put*(u_put^(AG20-$F$15))*(d_put^($F$13-AG20+$F$15)),"")</f>
        <v>41.407465767090692</v>
      </c>
      <c r="G20" s="179">
        <f t="shared" si="0"/>
        <v>43.406172269729247</v>
      </c>
      <c r="H20" s="179">
        <f t="shared" si="1"/>
        <v>45.501354796912736</v>
      </c>
      <c r="I20" s="179">
        <f t="shared" si="2"/>
        <v>47.697670172091591</v>
      </c>
      <c r="J20" s="179">
        <f t="shared" si="3"/>
        <v>49.999999999999979</v>
      </c>
      <c r="K20" s="179">
        <f t="shared" si="4"/>
        <v>52.413461516675383</v>
      </c>
      <c r="L20" s="179">
        <f t="shared" si="5"/>
        <v>54.943418963200244</v>
      </c>
      <c r="M20" s="179">
        <f t="shared" si="6"/>
        <v>57.595495508445403</v>
      </c>
      <c r="N20" s="179">
        <f t="shared" si="7"/>
        <v>60.375585747315078</v>
      </c>
      <c r="O20" s="179">
        <f t="shared" si="8"/>
        <v>63.2898688022727</v>
      </c>
      <c r="P20" s="179">
        <f t="shared" si="9"/>
        <v>66.344822057267109</v>
      </c>
      <c r="Q20" s="179">
        <f t="shared" si="10"/>
        <v>69.547235554584944</v>
      </c>
      <c r="R20" s="179">
        <f t="shared" si="11"/>
        <v>72.904227086627955</v>
      </c>
      <c r="S20" s="179">
        <f t="shared" si="12"/>
        <v>76.423258016158769</v>
      </c>
      <c r="T20" s="179">
        <f t="shared" si="13"/>
        <v>80.112149860177865</v>
      </c>
      <c r="U20" s="179">
        <f t="shared" si="14"/>
        <v>83.979101674291314</v>
      </c>
      <c r="V20" s="179">
        <f t="shared" si="15"/>
        <v>88.032708276208766</v>
      </c>
      <c r="W20" s="179">
        <f t="shared" si="16"/>
        <v>92.281979348875609</v>
      </c>
      <c r="X20" s="179">
        <f t="shared" si="17"/>
        <v>96.736359465698527</v>
      </c>
      <c r="Y20" s="179">
        <f t="shared" si="18"/>
        <v>101.40574908237336</v>
      </c>
      <c r="Z20" s="179">
        <f t="shared" si="19"/>
        <v>106.30052654197236</v>
      </c>
      <c r="AA20" s="179">
        <f t="shared" si="20"/>
        <v>111.43157114220004</v>
      </c>
      <c r="AB20" s="179">
        <f t="shared" si="21"/>
        <v>116.81028731608757</v>
      </c>
      <c r="AC20" s="179">
        <f t="shared" si="22"/>
        <v>122.44862997987106</v>
      </c>
      <c r="AD20" s="179">
        <f t="shared" si="23"/>
        <v>128.35913110439196</v>
      </c>
      <c r="AE20" s="179">
        <f t="shared" si="24"/>
        <v>134.55492756907884</v>
      </c>
      <c r="AF20" s="179">
        <f t="shared" si="25"/>
        <v>141.04979036041919</v>
      </c>
      <c r="AG20" s="180">
        <v>26</v>
      </c>
    </row>
    <row r="21" spans="2:33" x14ac:dyDescent="0.2">
      <c r="B21" s="209"/>
      <c r="C21" s="210"/>
      <c r="D21" s="210"/>
      <c r="E21" s="210"/>
      <c r="F21" s="210"/>
      <c r="G21" s="179">
        <f t="shared" si="0"/>
        <v>39.500792896417316</v>
      </c>
      <c r="H21" s="179">
        <f t="shared" si="1"/>
        <v>41.407465767090692</v>
      </c>
      <c r="I21" s="179">
        <f t="shared" si="2"/>
        <v>43.40617226972924</v>
      </c>
      <c r="J21" s="179">
        <f t="shared" si="3"/>
        <v>45.501354796912736</v>
      </c>
      <c r="K21" s="179">
        <f t="shared" si="4"/>
        <v>47.697670172091584</v>
      </c>
      <c r="L21" s="179">
        <f t="shared" si="5"/>
        <v>49.999999999999972</v>
      </c>
      <c r="M21" s="179">
        <f t="shared" si="6"/>
        <v>52.413461516675376</v>
      </c>
      <c r="N21" s="179">
        <f t="shared" si="7"/>
        <v>54.943418963200251</v>
      </c>
      <c r="O21" s="179">
        <f t="shared" si="8"/>
        <v>57.595495508445396</v>
      </c>
      <c r="P21" s="179">
        <f t="shared" si="9"/>
        <v>60.375585747315078</v>
      </c>
      <c r="Q21" s="179">
        <f t="shared" si="10"/>
        <v>63.289868802272693</v>
      </c>
      <c r="R21" s="179">
        <f t="shared" si="11"/>
        <v>66.344822057267109</v>
      </c>
      <c r="S21" s="179">
        <f t="shared" si="12"/>
        <v>69.547235554584944</v>
      </c>
      <c r="T21" s="179">
        <f t="shared" si="13"/>
        <v>72.904227086627941</v>
      </c>
      <c r="U21" s="179">
        <f t="shared" si="14"/>
        <v>76.423258016158769</v>
      </c>
      <c r="V21" s="179">
        <f t="shared" si="15"/>
        <v>80.112149860177865</v>
      </c>
      <c r="W21" s="179">
        <f t="shared" si="16"/>
        <v>83.9791016742913</v>
      </c>
      <c r="X21" s="179">
        <f t="shared" si="17"/>
        <v>88.032708276208766</v>
      </c>
      <c r="Y21" s="179">
        <f t="shared" si="18"/>
        <v>92.281979348875609</v>
      </c>
      <c r="Z21" s="179">
        <f t="shared" si="19"/>
        <v>96.736359465698513</v>
      </c>
      <c r="AA21" s="179">
        <f t="shared" si="20"/>
        <v>101.40574908237335</v>
      </c>
      <c r="AB21" s="179">
        <f t="shared" si="21"/>
        <v>106.30052654197237</v>
      </c>
      <c r="AC21" s="179">
        <f t="shared" si="22"/>
        <v>111.43157114220001</v>
      </c>
      <c r="AD21" s="179">
        <f t="shared" si="23"/>
        <v>116.81028731608757</v>
      </c>
      <c r="AE21" s="179">
        <f t="shared" si="24"/>
        <v>122.44862997987106</v>
      </c>
      <c r="AF21" s="179">
        <f t="shared" si="25"/>
        <v>128.35913110439196</v>
      </c>
      <c r="AG21" s="180">
        <v>25</v>
      </c>
    </row>
    <row r="22" spans="2:33" x14ac:dyDescent="0.2">
      <c r="B22" s="209"/>
      <c r="C22" s="210"/>
      <c r="D22" s="210"/>
      <c r="E22" s="210"/>
      <c r="F22" s="210"/>
      <c r="G22" s="210"/>
      <c r="H22" s="179">
        <f t="shared" si="1"/>
        <v>37.681915822188245</v>
      </c>
      <c r="I22" s="179">
        <f t="shared" si="2"/>
        <v>39.500792896417316</v>
      </c>
      <c r="J22" s="179">
        <f t="shared" si="3"/>
        <v>41.407465767090677</v>
      </c>
      <c r="K22" s="179">
        <f t="shared" si="4"/>
        <v>43.406172269729232</v>
      </c>
      <c r="L22" s="179">
        <f t="shared" si="5"/>
        <v>45.501354796912722</v>
      </c>
      <c r="M22" s="179">
        <f t="shared" si="6"/>
        <v>47.697670172091577</v>
      </c>
      <c r="N22" s="179">
        <f t="shared" si="7"/>
        <v>49.999999999999964</v>
      </c>
      <c r="O22" s="179">
        <f t="shared" si="8"/>
        <v>52.413461516675376</v>
      </c>
      <c r="P22" s="179">
        <f t="shared" si="9"/>
        <v>54.943418963200237</v>
      </c>
      <c r="Q22" s="179">
        <f t="shared" si="10"/>
        <v>57.595495508445389</v>
      </c>
      <c r="R22" s="179">
        <f t="shared" si="11"/>
        <v>60.375585747315064</v>
      </c>
      <c r="S22" s="179">
        <f t="shared" si="12"/>
        <v>63.289868802272686</v>
      </c>
      <c r="T22" s="179">
        <f t="shared" si="13"/>
        <v>66.344822057267095</v>
      </c>
      <c r="U22" s="179">
        <f t="shared" si="14"/>
        <v>69.54723555458493</v>
      </c>
      <c r="V22" s="179">
        <f t="shared" si="15"/>
        <v>72.904227086627927</v>
      </c>
      <c r="W22" s="179">
        <f t="shared" si="16"/>
        <v>76.423258016158769</v>
      </c>
      <c r="X22" s="179">
        <f t="shared" si="17"/>
        <v>80.112149860177837</v>
      </c>
      <c r="Y22" s="179">
        <f t="shared" si="18"/>
        <v>83.979101674291286</v>
      </c>
      <c r="Z22" s="179">
        <f t="shared" si="19"/>
        <v>88.032708276208737</v>
      </c>
      <c r="AA22" s="179">
        <f t="shared" si="20"/>
        <v>92.281979348875581</v>
      </c>
      <c r="AB22" s="179">
        <f t="shared" si="21"/>
        <v>96.736359465698499</v>
      </c>
      <c r="AC22" s="179">
        <f t="shared" si="22"/>
        <v>101.40574908237335</v>
      </c>
      <c r="AD22" s="179">
        <f t="shared" si="23"/>
        <v>106.30052654197235</v>
      </c>
      <c r="AE22" s="179">
        <f t="shared" si="24"/>
        <v>111.4315711422</v>
      </c>
      <c r="AF22" s="179">
        <f t="shared" si="25"/>
        <v>116.81028731608754</v>
      </c>
      <c r="AG22" s="180">
        <v>24</v>
      </c>
    </row>
    <row r="23" spans="2:33" x14ac:dyDescent="0.2">
      <c r="B23" s="209"/>
      <c r="C23" s="210"/>
      <c r="D23" s="210"/>
      <c r="E23" s="210"/>
      <c r="F23" s="210"/>
      <c r="G23" s="210"/>
      <c r="H23" s="210"/>
      <c r="I23" s="179">
        <f t="shared" si="2"/>
        <v>35.946791846785104</v>
      </c>
      <c r="J23" s="179">
        <f t="shared" si="3"/>
        <v>37.681915822188252</v>
      </c>
      <c r="K23" s="179">
        <f t="shared" si="4"/>
        <v>39.500792896417309</v>
      </c>
      <c r="L23" s="179">
        <f t="shared" si="5"/>
        <v>41.407465767090677</v>
      </c>
      <c r="M23" s="179">
        <f t="shared" si="6"/>
        <v>43.406172269729232</v>
      </c>
      <c r="N23" s="179">
        <f t="shared" si="7"/>
        <v>45.501354796912722</v>
      </c>
      <c r="O23" s="179">
        <f t="shared" si="8"/>
        <v>47.697670172091577</v>
      </c>
      <c r="P23" s="179">
        <f t="shared" si="9"/>
        <v>49.999999999999972</v>
      </c>
      <c r="Q23" s="179">
        <f t="shared" si="10"/>
        <v>52.413461516675369</v>
      </c>
      <c r="R23" s="179">
        <f t="shared" si="11"/>
        <v>54.943418963200237</v>
      </c>
      <c r="S23" s="179">
        <f t="shared" si="12"/>
        <v>57.595495508445381</v>
      </c>
      <c r="T23" s="179">
        <f t="shared" si="13"/>
        <v>60.375585747315064</v>
      </c>
      <c r="U23" s="179">
        <f t="shared" si="14"/>
        <v>63.289868802272686</v>
      </c>
      <c r="V23" s="179">
        <f t="shared" si="15"/>
        <v>66.344822057267095</v>
      </c>
      <c r="W23" s="179">
        <f t="shared" si="16"/>
        <v>69.54723555458493</v>
      </c>
      <c r="X23" s="179">
        <f t="shared" si="17"/>
        <v>72.904227086627941</v>
      </c>
      <c r="Y23" s="179">
        <f t="shared" si="18"/>
        <v>76.423258016158755</v>
      </c>
      <c r="Z23" s="179">
        <f t="shared" si="19"/>
        <v>80.112149860177837</v>
      </c>
      <c r="AA23" s="179">
        <f t="shared" si="20"/>
        <v>83.979101674291286</v>
      </c>
      <c r="AB23" s="179">
        <f t="shared" si="21"/>
        <v>88.032708276208737</v>
      </c>
      <c r="AC23" s="179">
        <f t="shared" si="22"/>
        <v>92.281979348875581</v>
      </c>
      <c r="AD23" s="179">
        <f t="shared" si="23"/>
        <v>96.736359465698513</v>
      </c>
      <c r="AE23" s="179">
        <f t="shared" si="24"/>
        <v>101.40574908237333</v>
      </c>
      <c r="AF23" s="179">
        <f t="shared" si="25"/>
        <v>106.30052654197235</v>
      </c>
      <c r="AG23" s="180">
        <v>23</v>
      </c>
    </row>
    <row r="24" spans="2:33" x14ac:dyDescent="0.2">
      <c r="B24" s="209"/>
      <c r="C24" s="210"/>
      <c r="D24" s="210"/>
      <c r="E24" s="210"/>
      <c r="F24" s="210"/>
      <c r="G24" s="210"/>
      <c r="H24" s="210"/>
      <c r="I24" s="210"/>
      <c r="J24" s="179">
        <f t="shared" si="3"/>
        <v>34.291564425055746</v>
      </c>
      <c r="K24" s="179">
        <f t="shared" si="4"/>
        <v>35.946791846785104</v>
      </c>
      <c r="L24" s="179">
        <f t="shared" si="5"/>
        <v>37.681915822188238</v>
      </c>
      <c r="M24" s="179">
        <f t="shared" si="6"/>
        <v>39.500792896417302</v>
      </c>
      <c r="N24" s="179">
        <f t="shared" si="7"/>
        <v>41.40746576709067</v>
      </c>
      <c r="O24" s="179">
        <f t="shared" si="8"/>
        <v>43.406172269729225</v>
      </c>
      <c r="P24" s="179">
        <f t="shared" si="9"/>
        <v>45.501354796912715</v>
      </c>
      <c r="Q24" s="179">
        <f t="shared" si="10"/>
        <v>47.697670172091577</v>
      </c>
      <c r="R24" s="179">
        <f t="shared" si="11"/>
        <v>49.999999999999957</v>
      </c>
      <c r="S24" s="179">
        <f t="shared" si="12"/>
        <v>52.413461516675362</v>
      </c>
      <c r="T24" s="179">
        <f t="shared" si="13"/>
        <v>54.943418963200223</v>
      </c>
      <c r="U24" s="179">
        <f t="shared" si="14"/>
        <v>57.595495508445374</v>
      </c>
      <c r="V24" s="179">
        <f t="shared" si="15"/>
        <v>60.375585747315057</v>
      </c>
      <c r="W24" s="179">
        <f t="shared" si="16"/>
        <v>63.289868802272672</v>
      </c>
      <c r="X24" s="179">
        <f t="shared" si="17"/>
        <v>66.344822057267081</v>
      </c>
      <c r="Y24" s="179">
        <f t="shared" si="18"/>
        <v>69.54723555458493</v>
      </c>
      <c r="Z24" s="179">
        <f t="shared" si="19"/>
        <v>72.904227086627913</v>
      </c>
      <c r="AA24" s="179">
        <f t="shared" si="20"/>
        <v>76.423258016158741</v>
      </c>
      <c r="AB24" s="179">
        <f t="shared" si="21"/>
        <v>80.112149860177823</v>
      </c>
      <c r="AC24" s="179">
        <f t="shared" si="22"/>
        <v>83.979101674291257</v>
      </c>
      <c r="AD24" s="179">
        <f t="shared" si="23"/>
        <v>88.032708276208723</v>
      </c>
      <c r="AE24" s="179">
        <f t="shared" si="24"/>
        <v>92.281979348875581</v>
      </c>
      <c r="AF24" s="179">
        <f t="shared" si="25"/>
        <v>96.736359465698484</v>
      </c>
      <c r="AG24" s="180">
        <v>22</v>
      </c>
    </row>
    <row r="25" spans="2:33" x14ac:dyDescent="0.2">
      <c r="B25" s="209"/>
      <c r="C25" s="210"/>
      <c r="D25" s="210"/>
      <c r="E25" s="210"/>
      <c r="F25" s="210"/>
      <c r="G25" s="210"/>
      <c r="H25" s="210"/>
      <c r="I25" s="210"/>
      <c r="J25" s="210"/>
      <c r="K25" s="179">
        <f t="shared" si="4"/>
        <v>32.712554592626788</v>
      </c>
      <c r="L25" s="179">
        <f t="shared" si="5"/>
        <v>34.291564425055753</v>
      </c>
      <c r="M25" s="179">
        <f t="shared" si="6"/>
        <v>35.946791846785096</v>
      </c>
      <c r="N25" s="179">
        <f t="shared" si="7"/>
        <v>37.681915822188238</v>
      </c>
      <c r="O25" s="179">
        <f t="shared" si="8"/>
        <v>39.500792896417302</v>
      </c>
      <c r="P25" s="179">
        <f t="shared" si="9"/>
        <v>41.40746576709067</v>
      </c>
      <c r="Q25" s="179">
        <f t="shared" si="10"/>
        <v>43.406172269729218</v>
      </c>
      <c r="R25" s="179">
        <f t="shared" si="11"/>
        <v>45.501354796912722</v>
      </c>
      <c r="S25" s="179">
        <f t="shared" si="12"/>
        <v>47.69767017209157</v>
      </c>
      <c r="T25" s="179">
        <f t="shared" si="13"/>
        <v>49.999999999999957</v>
      </c>
      <c r="U25" s="179">
        <f t="shared" si="14"/>
        <v>52.413461516675355</v>
      </c>
      <c r="V25" s="179">
        <f t="shared" si="15"/>
        <v>54.943418963200223</v>
      </c>
      <c r="W25" s="179">
        <f t="shared" si="16"/>
        <v>57.595495508445367</v>
      </c>
      <c r="X25" s="179">
        <f t="shared" si="17"/>
        <v>60.37558574731505</v>
      </c>
      <c r="Y25" s="179">
        <f t="shared" si="18"/>
        <v>63.289868802272665</v>
      </c>
      <c r="Z25" s="179">
        <f t="shared" si="19"/>
        <v>66.344822057267095</v>
      </c>
      <c r="AA25" s="179">
        <f t="shared" si="20"/>
        <v>69.547235554584901</v>
      </c>
      <c r="AB25" s="179">
        <f t="shared" si="21"/>
        <v>72.904227086627913</v>
      </c>
      <c r="AC25" s="179">
        <f t="shared" si="22"/>
        <v>76.423258016158726</v>
      </c>
      <c r="AD25" s="179">
        <f t="shared" si="23"/>
        <v>80.112149860177809</v>
      </c>
      <c r="AE25" s="179">
        <f t="shared" si="24"/>
        <v>83.979101674291257</v>
      </c>
      <c r="AF25" s="179">
        <f t="shared" si="25"/>
        <v>88.032708276208723</v>
      </c>
      <c r="AG25" s="180">
        <v>21</v>
      </c>
    </row>
    <row r="26" spans="2:33" x14ac:dyDescent="0.2">
      <c r="B26" s="209"/>
      <c r="C26" s="210"/>
      <c r="D26" s="210"/>
      <c r="E26" s="210"/>
      <c r="F26" s="210"/>
      <c r="G26" s="210"/>
      <c r="H26" s="210"/>
      <c r="I26" s="210"/>
      <c r="J26" s="210"/>
      <c r="K26" s="210"/>
      <c r="L26" s="179">
        <f t="shared" si="5"/>
        <v>31.206252788913059</v>
      </c>
      <c r="M26" s="179">
        <f t="shared" si="6"/>
        <v>32.712554592626788</v>
      </c>
      <c r="N26" s="179">
        <f t="shared" si="7"/>
        <v>34.291564425055739</v>
      </c>
      <c r="O26" s="179">
        <f t="shared" si="8"/>
        <v>35.946791846785089</v>
      </c>
      <c r="P26" s="179">
        <f t="shared" si="9"/>
        <v>37.68191582218823</v>
      </c>
      <c r="Q26" s="179">
        <f t="shared" si="10"/>
        <v>39.500792896417295</v>
      </c>
      <c r="R26" s="179">
        <f t="shared" si="11"/>
        <v>41.407465767090663</v>
      </c>
      <c r="S26" s="179">
        <f t="shared" si="12"/>
        <v>43.406172269729225</v>
      </c>
      <c r="T26" s="179">
        <f t="shared" si="13"/>
        <v>45.501354796912707</v>
      </c>
      <c r="U26" s="179">
        <f t="shared" si="14"/>
        <v>47.697670172091563</v>
      </c>
      <c r="V26" s="179">
        <f t="shared" si="15"/>
        <v>49.999999999999943</v>
      </c>
      <c r="W26" s="179">
        <f t="shared" si="16"/>
        <v>52.413461516675348</v>
      </c>
      <c r="X26" s="179">
        <f t="shared" si="17"/>
        <v>54.943418963200216</v>
      </c>
      <c r="Y26" s="179">
        <f t="shared" si="18"/>
        <v>57.59549550844536</v>
      </c>
      <c r="Z26" s="179">
        <f t="shared" si="19"/>
        <v>60.375585747315043</v>
      </c>
      <c r="AA26" s="179">
        <f t="shared" si="20"/>
        <v>63.289868802272672</v>
      </c>
      <c r="AB26" s="179">
        <f t="shared" si="21"/>
        <v>66.344822057267066</v>
      </c>
      <c r="AC26" s="179">
        <f t="shared" si="22"/>
        <v>69.547235554584901</v>
      </c>
      <c r="AD26" s="179">
        <f t="shared" si="23"/>
        <v>72.904227086627898</v>
      </c>
      <c r="AE26" s="179">
        <f t="shared" si="24"/>
        <v>76.423258016158726</v>
      </c>
      <c r="AF26" s="179">
        <f t="shared" si="25"/>
        <v>80.112149860177809</v>
      </c>
      <c r="AG26" s="180">
        <v>20</v>
      </c>
    </row>
    <row r="27" spans="2:33" x14ac:dyDescent="0.2">
      <c r="B27" s="209"/>
      <c r="C27" s="210"/>
      <c r="D27" s="210"/>
      <c r="E27" s="210"/>
      <c r="F27" s="210"/>
      <c r="G27" s="210"/>
      <c r="H27" s="210"/>
      <c r="I27" s="210"/>
      <c r="J27" s="210"/>
      <c r="K27" s="210"/>
      <c r="L27" s="210"/>
      <c r="M27" s="179">
        <f t="shared" si="6"/>
        <v>29.769311056649777</v>
      </c>
      <c r="N27" s="179">
        <f t="shared" si="7"/>
        <v>31.206252788913059</v>
      </c>
      <c r="O27" s="179">
        <f t="shared" si="8"/>
        <v>32.71255459262678</v>
      </c>
      <c r="P27" s="179">
        <f t="shared" si="9"/>
        <v>34.291564425055739</v>
      </c>
      <c r="Q27" s="179">
        <f t="shared" si="10"/>
        <v>35.946791846785089</v>
      </c>
      <c r="R27" s="179">
        <f t="shared" si="11"/>
        <v>37.68191582218823</v>
      </c>
      <c r="S27" s="179">
        <f t="shared" si="12"/>
        <v>39.500792896417295</v>
      </c>
      <c r="T27" s="179">
        <f t="shared" si="13"/>
        <v>41.40746576709067</v>
      </c>
      <c r="U27" s="179">
        <f t="shared" si="14"/>
        <v>43.406172269729211</v>
      </c>
      <c r="V27" s="179">
        <f t="shared" si="15"/>
        <v>45.501354796912707</v>
      </c>
      <c r="W27" s="179">
        <f t="shared" si="16"/>
        <v>47.697670172091556</v>
      </c>
      <c r="X27" s="179">
        <f t="shared" si="17"/>
        <v>49.999999999999943</v>
      </c>
      <c r="Y27" s="179">
        <f t="shared" si="18"/>
        <v>52.413461516675348</v>
      </c>
      <c r="Z27" s="179">
        <f t="shared" si="19"/>
        <v>54.943418963200209</v>
      </c>
      <c r="AA27" s="179">
        <f t="shared" si="20"/>
        <v>57.595495508445353</v>
      </c>
      <c r="AB27" s="179">
        <f t="shared" si="21"/>
        <v>60.37558574731505</v>
      </c>
      <c r="AC27" s="179">
        <f t="shared" si="22"/>
        <v>63.28986880227265</v>
      </c>
      <c r="AD27" s="179">
        <f t="shared" si="23"/>
        <v>66.344822057267066</v>
      </c>
      <c r="AE27" s="179">
        <f t="shared" si="24"/>
        <v>69.547235554584887</v>
      </c>
      <c r="AF27" s="179">
        <f t="shared" si="25"/>
        <v>72.904227086627898</v>
      </c>
      <c r="AG27" s="180">
        <v>19</v>
      </c>
    </row>
    <row r="28" spans="2:33" x14ac:dyDescent="0.2">
      <c r="B28" s="209"/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179">
        <f t="shared" si="7"/>
        <v>28.398535600609616</v>
      </c>
      <c r="O28" s="179">
        <f t="shared" si="8"/>
        <v>29.769311056649773</v>
      </c>
      <c r="P28" s="179">
        <f t="shared" si="9"/>
        <v>31.206252788913048</v>
      </c>
      <c r="Q28" s="179">
        <f t="shared" si="10"/>
        <v>32.712554592626773</v>
      </c>
      <c r="R28" s="179">
        <f t="shared" si="11"/>
        <v>34.291564425055732</v>
      </c>
      <c r="S28" s="179">
        <f t="shared" si="12"/>
        <v>35.946791846785075</v>
      </c>
      <c r="T28" s="179">
        <f t="shared" si="13"/>
        <v>37.681915822188216</v>
      </c>
      <c r="U28" s="179">
        <f t="shared" si="14"/>
        <v>39.500792896417288</v>
      </c>
      <c r="V28" s="179">
        <f t="shared" si="15"/>
        <v>41.407465767090649</v>
      </c>
      <c r="W28" s="179">
        <f t="shared" si="16"/>
        <v>43.406172269729204</v>
      </c>
      <c r="X28" s="179">
        <f t="shared" si="17"/>
        <v>45.501354796912686</v>
      </c>
      <c r="Y28" s="179">
        <f t="shared" si="18"/>
        <v>47.697670172091541</v>
      </c>
      <c r="Z28" s="179">
        <f t="shared" si="19"/>
        <v>49.999999999999929</v>
      </c>
      <c r="AA28" s="179">
        <f t="shared" si="20"/>
        <v>52.413461516675326</v>
      </c>
      <c r="AB28" s="179">
        <f t="shared" si="21"/>
        <v>54.943418963200195</v>
      </c>
      <c r="AC28" s="179">
        <f t="shared" si="22"/>
        <v>57.595495508445353</v>
      </c>
      <c r="AD28" s="179">
        <f t="shared" si="23"/>
        <v>60.375585747315021</v>
      </c>
      <c r="AE28" s="179">
        <f t="shared" si="24"/>
        <v>63.289868802272643</v>
      </c>
      <c r="AF28" s="179">
        <f t="shared" si="25"/>
        <v>66.344822057267038</v>
      </c>
      <c r="AG28" s="180">
        <v>18</v>
      </c>
    </row>
    <row r="29" spans="2:33" x14ac:dyDescent="0.2">
      <c r="B29" s="209"/>
      <c r="C29" s="210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179">
        <f t="shared" si="8"/>
        <v>27.090879688965579</v>
      </c>
      <c r="P29" s="179">
        <f t="shared" si="9"/>
        <v>28.39853560060962</v>
      </c>
      <c r="Q29" s="179">
        <f t="shared" si="10"/>
        <v>29.769311056649773</v>
      </c>
      <c r="R29" s="179">
        <f t="shared" si="11"/>
        <v>31.206252788913048</v>
      </c>
      <c r="S29" s="179">
        <f t="shared" si="12"/>
        <v>32.712554592626773</v>
      </c>
      <c r="T29" s="179">
        <f t="shared" si="13"/>
        <v>34.291564425055732</v>
      </c>
      <c r="U29" s="179">
        <f t="shared" si="14"/>
        <v>35.946791846785075</v>
      </c>
      <c r="V29" s="179">
        <f t="shared" si="15"/>
        <v>37.681915822188223</v>
      </c>
      <c r="W29" s="179">
        <f t="shared" si="16"/>
        <v>39.500792896417288</v>
      </c>
      <c r="X29" s="179">
        <f t="shared" si="17"/>
        <v>41.407465767090656</v>
      </c>
      <c r="Y29" s="179">
        <f t="shared" si="18"/>
        <v>43.406172269729204</v>
      </c>
      <c r="Z29" s="179">
        <f t="shared" si="19"/>
        <v>45.501354796912693</v>
      </c>
      <c r="AA29" s="179">
        <f t="shared" si="20"/>
        <v>47.697670172091549</v>
      </c>
      <c r="AB29" s="179">
        <f t="shared" si="21"/>
        <v>49.999999999999929</v>
      </c>
      <c r="AC29" s="179">
        <f t="shared" si="22"/>
        <v>52.413461516675333</v>
      </c>
      <c r="AD29" s="179">
        <f t="shared" si="23"/>
        <v>54.943418963200209</v>
      </c>
      <c r="AE29" s="179">
        <f t="shared" si="24"/>
        <v>57.595495508445339</v>
      </c>
      <c r="AF29" s="179">
        <f t="shared" si="25"/>
        <v>60.375585747315029</v>
      </c>
      <c r="AG29" s="180">
        <v>17</v>
      </c>
    </row>
    <row r="30" spans="2:33" x14ac:dyDescent="0.2">
      <c r="B30" s="209"/>
      <c r="C30" s="210"/>
      <c r="D30" s="210"/>
      <c r="E30" s="210"/>
      <c r="F30" s="210"/>
      <c r="G30" s="210"/>
      <c r="H30" s="210"/>
      <c r="I30" s="210"/>
      <c r="J30" s="210"/>
      <c r="K30" s="210"/>
      <c r="L30" s="210"/>
      <c r="M30" s="210"/>
      <c r="N30" s="210"/>
      <c r="O30" s="210"/>
      <c r="P30" s="179">
        <f t="shared" si="9"/>
        <v>25.843436881521914</v>
      </c>
      <c r="Q30" s="179">
        <f t="shared" si="10"/>
        <v>27.090879688965575</v>
      </c>
      <c r="R30" s="179">
        <f t="shared" si="11"/>
        <v>28.398535600609609</v>
      </c>
      <c r="S30" s="179">
        <f t="shared" si="12"/>
        <v>29.769311056649766</v>
      </c>
      <c r="T30" s="179">
        <f t="shared" si="13"/>
        <v>31.206252788913041</v>
      </c>
      <c r="U30" s="179">
        <f t="shared" si="14"/>
        <v>32.712554592626766</v>
      </c>
      <c r="V30" s="179">
        <f t="shared" si="15"/>
        <v>34.291564425055725</v>
      </c>
      <c r="W30" s="179">
        <f t="shared" si="16"/>
        <v>35.946791846785075</v>
      </c>
      <c r="X30" s="179">
        <f t="shared" si="17"/>
        <v>37.681915822188209</v>
      </c>
      <c r="Y30" s="179">
        <f t="shared" si="18"/>
        <v>39.500792896417281</v>
      </c>
      <c r="Z30" s="179">
        <f t="shared" si="19"/>
        <v>41.407465767090642</v>
      </c>
      <c r="AA30" s="179">
        <f t="shared" si="20"/>
        <v>43.40617226972919</v>
      </c>
      <c r="AB30" s="179">
        <f t="shared" si="21"/>
        <v>45.501354796912686</v>
      </c>
      <c r="AC30" s="179">
        <f t="shared" si="22"/>
        <v>47.697670172091534</v>
      </c>
      <c r="AD30" s="179">
        <f t="shared" si="23"/>
        <v>49.999999999999922</v>
      </c>
      <c r="AE30" s="179">
        <f t="shared" si="24"/>
        <v>52.413461516675333</v>
      </c>
      <c r="AF30" s="179">
        <f t="shared" si="25"/>
        <v>54.94341896320018</v>
      </c>
      <c r="AG30" s="180">
        <v>16</v>
      </c>
    </row>
    <row r="31" spans="2:33" x14ac:dyDescent="0.2">
      <c r="B31" s="209"/>
      <c r="C31" s="210"/>
      <c r="D31" s="210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179">
        <f t="shared" si="10"/>
        <v>24.653434569762002</v>
      </c>
      <c r="R31" s="179">
        <f t="shared" si="11"/>
        <v>25.843436881521917</v>
      </c>
      <c r="S31" s="179">
        <f t="shared" si="12"/>
        <v>27.090879688965572</v>
      </c>
      <c r="T31" s="179">
        <f t="shared" si="13"/>
        <v>28.398535600609609</v>
      </c>
      <c r="U31" s="179">
        <f t="shared" si="14"/>
        <v>29.769311056649762</v>
      </c>
      <c r="V31" s="179">
        <f t="shared" si="15"/>
        <v>31.206252788913041</v>
      </c>
      <c r="W31" s="179">
        <f t="shared" si="16"/>
        <v>32.712554592626759</v>
      </c>
      <c r="X31" s="179">
        <f t="shared" si="17"/>
        <v>34.291564425055725</v>
      </c>
      <c r="Y31" s="179">
        <f t="shared" si="18"/>
        <v>35.946791846785068</v>
      </c>
      <c r="Z31" s="179">
        <f t="shared" si="19"/>
        <v>37.681915822188209</v>
      </c>
      <c r="AA31" s="179">
        <f t="shared" si="20"/>
        <v>39.500792896417273</v>
      </c>
      <c r="AB31" s="179">
        <f t="shared" si="21"/>
        <v>41.407465767090642</v>
      </c>
      <c r="AC31" s="179">
        <f t="shared" si="22"/>
        <v>43.40617226972919</v>
      </c>
      <c r="AD31" s="179">
        <f t="shared" si="23"/>
        <v>45.501354796912679</v>
      </c>
      <c r="AE31" s="179">
        <f t="shared" si="24"/>
        <v>47.697670172091534</v>
      </c>
      <c r="AF31" s="179">
        <f t="shared" si="25"/>
        <v>49.999999999999929</v>
      </c>
      <c r="AG31" s="180">
        <v>15</v>
      </c>
    </row>
    <row r="32" spans="2:33" x14ac:dyDescent="0.2">
      <c r="B32" s="209"/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0"/>
      <c r="P32" s="210"/>
      <c r="Q32" s="210"/>
      <c r="R32" s="179">
        <f t="shared" si="11"/>
        <v>23.518227814354979</v>
      </c>
      <c r="S32" s="179">
        <f t="shared" si="12"/>
        <v>24.653434569762002</v>
      </c>
      <c r="T32" s="179">
        <f t="shared" si="13"/>
        <v>25.84343688152191</v>
      </c>
      <c r="U32" s="179">
        <f t="shared" si="14"/>
        <v>27.090879688965572</v>
      </c>
      <c r="V32" s="179">
        <f t="shared" si="15"/>
        <v>28.398535600609605</v>
      </c>
      <c r="W32" s="179">
        <f t="shared" si="16"/>
        <v>29.769311056649759</v>
      </c>
      <c r="X32" s="179">
        <f t="shared" si="17"/>
        <v>31.206252788913037</v>
      </c>
      <c r="Y32" s="179">
        <f t="shared" si="18"/>
        <v>32.712554592626766</v>
      </c>
      <c r="Z32" s="179">
        <f t="shared" si="19"/>
        <v>34.291564425055718</v>
      </c>
      <c r="AA32" s="179">
        <f t="shared" si="20"/>
        <v>35.946791846785068</v>
      </c>
      <c r="AB32" s="179">
        <f t="shared" si="21"/>
        <v>37.681915822188202</v>
      </c>
      <c r="AC32" s="179">
        <f t="shared" si="22"/>
        <v>39.500792896417273</v>
      </c>
      <c r="AD32" s="179">
        <f t="shared" si="23"/>
        <v>41.407465767090635</v>
      </c>
      <c r="AE32" s="179">
        <f t="shared" si="24"/>
        <v>43.406172269729183</v>
      </c>
      <c r="AF32" s="179">
        <f t="shared" si="25"/>
        <v>45.501354796912679</v>
      </c>
      <c r="AG32" s="180">
        <v>14</v>
      </c>
    </row>
    <row r="33" spans="2:33" x14ac:dyDescent="0.2">
      <c r="B33" s="209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179">
        <f t="shared" si="12"/>
        <v>22.435293466424294</v>
      </c>
      <c r="T33" s="179">
        <f t="shared" si="13"/>
        <v>23.518227814354979</v>
      </c>
      <c r="U33" s="179">
        <f t="shared" si="14"/>
        <v>24.653434569761995</v>
      </c>
      <c r="V33" s="179">
        <f t="shared" si="15"/>
        <v>25.843436881521907</v>
      </c>
      <c r="W33" s="179">
        <f t="shared" si="16"/>
        <v>27.090879688965568</v>
      </c>
      <c r="X33" s="179">
        <f t="shared" si="17"/>
        <v>28.398535600609602</v>
      </c>
      <c r="Y33" s="179">
        <f t="shared" si="18"/>
        <v>29.769311056649755</v>
      </c>
      <c r="Z33" s="179">
        <f t="shared" si="19"/>
        <v>31.206252788913037</v>
      </c>
      <c r="AA33" s="179">
        <f t="shared" si="20"/>
        <v>32.712554592626759</v>
      </c>
      <c r="AB33" s="179">
        <f t="shared" si="21"/>
        <v>34.291564425055718</v>
      </c>
      <c r="AC33" s="179">
        <f t="shared" si="22"/>
        <v>35.946791846785061</v>
      </c>
      <c r="AD33" s="179">
        <f t="shared" si="23"/>
        <v>37.681915822188202</v>
      </c>
      <c r="AE33" s="179">
        <f t="shared" si="24"/>
        <v>39.500792896417266</v>
      </c>
      <c r="AF33" s="179">
        <f t="shared" si="25"/>
        <v>41.407465767090628</v>
      </c>
      <c r="AG33" s="180">
        <v>13</v>
      </c>
    </row>
    <row r="34" spans="2:33" x14ac:dyDescent="0.2">
      <c r="B34" s="209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179">
        <f t="shared" si="13"/>
        <v>21.402224559511758</v>
      </c>
      <c r="U34" s="179">
        <f t="shared" si="14"/>
        <v>22.435293466424298</v>
      </c>
      <c r="V34" s="179">
        <f t="shared" si="15"/>
        <v>23.518227814354976</v>
      </c>
      <c r="W34" s="179">
        <f t="shared" si="16"/>
        <v>24.653434569761995</v>
      </c>
      <c r="X34" s="179">
        <f t="shared" si="17"/>
        <v>25.843436881521907</v>
      </c>
      <c r="Y34" s="179">
        <f t="shared" si="18"/>
        <v>27.090879688965565</v>
      </c>
      <c r="Z34" s="179">
        <f t="shared" si="19"/>
        <v>28.398535600609602</v>
      </c>
      <c r="AA34" s="179">
        <f t="shared" si="20"/>
        <v>29.769311056649762</v>
      </c>
      <c r="AB34" s="179">
        <f t="shared" si="21"/>
        <v>31.206252788913034</v>
      </c>
      <c r="AC34" s="179">
        <f t="shared" si="22"/>
        <v>32.712554592626759</v>
      </c>
      <c r="AD34" s="179">
        <f t="shared" si="23"/>
        <v>34.291564425055711</v>
      </c>
      <c r="AE34" s="179">
        <f t="shared" si="24"/>
        <v>35.946791846785061</v>
      </c>
      <c r="AF34" s="179">
        <f t="shared" si="25"/>
        <v>37.681915822188202</v>
      </c>
      <c r="AG34" s="180">
        <v>12</v>
      </c>
    </row>
    <row r="35" spans="2:33" x14ac:dyDescent="0.2">
      <c r="B35" s="209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179">
        <f t="shared" si="14"/>
        <v>20.416724959772605</v>
      </c>
      <c r="V35" s="179">
        <f t="shared" si="15"/>
        <v>21.402224559511755</v>
      </c>
      <c r="W35" s="179">
        <f t="shared" si="16"/>
        <v>22.435293466424291</v>
      </c>
      <c r="X35" s="179">
        <f t="shared" si="17"/>
        <v>23.518227814354972</v>
      </c>
      <c r="Y35" s="179">
        <f t="shared" si="18"/>
        <v>24.653434569761991</v>
      </c>
      <c r="Z35" s="179">
        <f t="shared" si="19"/>
        <v>25.843436881521903</v>
      </c>
      <c r="AA35" s="179">
        <f t="shared" si="20"/>
        <v>27.090879688965561</v>
      </c>
      <c r="AB35" s="179">
        <f t="shared" si="21"/>
        <v>28.398535600609602</v>
      </c>
      <c r="AC35" s="179">
        <f t="shared" si="22"/>
        <v>29.769311056649752</v>
      </c>
      <c r="AD35" s="179">
        <f t="shared" si="23"/>
        <v>31.20625278891303</v>
      </c>
      <c r="AE35" s="179">
        <f t="shared" si="24"/>
        <v>32.712554592626752</v>
      </c>
      <c r="AF35" s="179">
        <f t="shared" si="25"/>
        <v>34.291564425055711</v>
      </c>
      <c r="AG35" s="180">
        <v>11</v>
      </c>
    </row>
    <row r="36" spans="2:33" x14ac:dyDescent="0.2">
      <c r="B36" s="209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179">
        <f t="shared" si="15"/>
        <v>19.476604262510879</v>
      </c>
      <c r="W36" s="179">
        <f t="shared" si="16"/>
        <v>20.416724959772605</v>
      </c>
      <c r="X36" s="179">
        <f t="shared" si="17"/>
        <v>21.402224559511751</v>
      </c>
      <c r="Y36" s="179">
        <f t="shared" si="18"/>
        <v>22.435293466424287</v>
      </c>
      <c r="Z36" s="179">
        <f t="shared" si="19"/>
        <v>23.518227814354972</v>
      </c>
      <c r="AA36" s="179">
        <f t="shared" si="20"/>
        <v>24.653434569761988</v>
      </c>
      <c r="AB36" s="179">
        <f t="shared" si="21"/>
        <v>25.8434368815219</v>
      </c>
      <c r="AC36" s="179">
        <f t="shared" si="22"/>
        <v>27.090879688965565</v>
      </c>
      <c r="AD36" s="179">
        <f t="shared" si="23"/>
        <v>28.398535600609595</v>
      </c>
      <c r="AE36" s="179">
        <f t="shared" si="24"/>
        <v>29.769311056649748</v>
      </c>
      <c r="AF36" s="179">
        <f t="shared" si="25"/>
        <v>31.206252788913023</v>
      </c>
      <c r="AG36" s="180">
        <v>10</v>
      </c>
    </row>
    <row r="37" spans="2:33" x14ac:dyDescent="0.2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179">
        <f t="shared" si="16"/>
        <v>18.57977292371195</v>
      </c>
      <c r="X37" s="179">
        <f t="shared" si="17"/>
        <v>19.476604262510879</v>
      </c>
      <c r="Y37" s="179">
        <f t="shared" si="18"/>
        <v>20.416724959772601</v>
      </c>
      <c r="Z37" s="179">
        <f t="shared" si="19"/>
        <v>21.402224559511748</v>
      </c>
      <c r="AA37" s="179">
        <f t="shared" si="20"/>
        <v>22.435293466424284</v>
      </c>
      <c r="AB37" s="179">
        <f t="shared" si="21"/>
        <v>23.518227814354969</v>
      </c>
      <c r="AC37" s="179">
        <f t="shared" si="22"/>
        <v>24.653434569761984</v>
      </c>
      <c r="AD37" s="179">
        <f t="shared" si="23"/>
        <v>25.843436881521903</v>
      </c>
      <c r="AE37" s="179">
        <f t="shared" si="24"/>
        <v>27.090879688965558</v>
      </c>
      <c r="AF37" s="179">
        <f t="shared" si="25"/>
        <v>28.398535600609591</v>
      </c>
      <c r="AG37" s="180">
        <v>9</v>
      </c>
    </row>
    <row r="38" spans="2:33" x14ac:dyDescent="0.2">
      <c r="B38" s="209"/>
      <c r="C38" s="210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0"/>
      <c r="P38" s="210"/>
      <c r="Q38" s="210"/>
      <c r="R38" s="210"/>
      <c r="S38" s="210"/>
      <c r="T38" s="210"/>
      <c r="U38" s="210"/>
      <c r="V38" s="210"/>
      <c r="W38" s="210"/>
      <c r="X38" s="179">
        <f t="shared" si="17"/>
        <v>17.724237615751413</v>
      </c>
      <c r="Y38" s="179">
        <f t="shared" si="18"/>
        <v>18.579772923711946</v>
      </c>
      <c r="Z38" s="179">
        <f t="shared" si="19"/>
        <v>19.476604262510875</v>
      </c>
      <c r="AA38" s="179">
        <f t="shared" si="20"/>
        <v>20.416724959772598</v>
      </c>
      <c r="AB38" s="179">
        <f t="shared" si="21"/>
        <v>21.402224559511744</v>
      </c>
      <c r="AC38" s="179">
        <f t="shared" si="22"/>
        <v>22.43529346642428</v>
      </c>
      <c r="AD38" s="179">
        <f t="shared" si="23"/>
        <v>23.518227814354965</v>
      </c>
      <c r="AE38" s="179">
        <f t="shared" si="24"/>
        <v>24.653434569761984</v>
      </c>
      <c r="AF38" s="179">
        <f t="shared" si="25"/>
        <v>25.843436881521892</v>
      </c>
      <c r="AG38" s="180">
        <v>8</v>
      </c>
    </row>
    <row r="39" spans="2:33" x14ac:dyDescent="0.2">
      <c r="B39" s="209"/>
      <c r="C39" s="210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179">
        <f t="shared" si="18"/>
        <v>16.908096796957807</v>
      </c>
      <c r="Z39" s="179">
        <f t="shared" si="19"/>
        <v>17.724237615751413</v>
      </c>
      <c r="AA39" s="179">
        <f t="shared" si="20"/>
        <v>18.579772923711946</v>
      </c>
      <c r="AB39" s="179">
        <f t="shared" si="21"/>
        <v>19.476604262510875</v>
      </c>
      <c r="AC39" s="179">
        <f t="shared" si="22"/>
        <v>20.416724959772598</v>
      </c>
      <c r="AD39" s="179">
        <f t="shared" si="23"/>
        <v>21.402224559511744</v>
      </c>
      <c r="AE39" s="179">
        <f t="shared" si="24"/>
        <v>22.43529346642428</v>
      </c>
      <c r="AF39" s="179">
        <f t="shared" si="25"/>
        <v>23.518227814354969</v>
      </c>
      <c r="AG39" s="180">
        <v>7</v>
      </c>
    </row>
    <row r="40" spans="2:33" x14ac:dyDescent="0.2">
      <c r="B40" s="209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79">
        <f t="shared" si="19"/>
        <v>16.129536485181838</v>
      </c>
      <c r="AA40" s="179">
        <f t="shared" si="20"/>
        <v>16.908096796957803</v>
      </c>
      <c r="AB40" s="179">
        <f t="shared" si="21"/>
        <v>17.724237615751406</v>
      </c>
      <c r="AC40" s="179">
        <f t="shared" si="22"/>
        <v>18.579772923711939</v>
      </c>
      <c r="AD40" s="179">
        <f t="shared" si="23"/>
        <v>19.476604262510868</v>
      </c>
      <c r="AE40" s="179">
        <f t="shared" si="24"/>
        <v>20.416724959772591</v>
      </c>
      <c r="AF40" s="179">
        <f t="shared" si="25"/>
        <v>21.40222455951174</v>
      </c>
      <c r="AG40" s="180">
        <v>6</v>
      </c>
    </row>
    <row r="41" spans="2:33" x14ac:dyDescent="0.2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10"/>
      <c r="X41" s="210"/>
      <c r="Y41" s="210"/>
      <c r="Z41" s="210"/>
      <c r="AA41" s="179">
        <f t="shared" si="20"/>
        <v>15.386826225978419</v>
      </c>
      <c r="AB41" s="179">
        <f t="shared" si="21"/>
        <v>16.129536485181838</v>
      </c>
      <c r="AC41" s="179">
        <f t="shared" si="22"/>
        <v>16.9080967969578</v>
      </c>
      <c r="AD41" s="179">
        <f t="shared" si="23"/>
        <v>17.724237615751406</v>
      </c>
      <c r="AE41" s="179">
        <f t="shared" si="24"/>
        <v>18.579772923711939</v>
      </c>
      <c r="AF41" s="179">
        <f t="shared" si="25"/>
        <v>19.476604262510868</v>
      </c>
      <c r="AG41" s="180">
        <v>5</v>
      </c>
    </row>
    <row r="42" spans="2:33" x14ac:dyDescent="0.2">
      <c r="B42" s="209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210"/>
      <c r="AA42" s="210"/>
      <c r="AB42" s="179">
        <f t="shared" si="21"/>
        <v>14.678315246440155</v>
      </c>
      <c r="AC42" s="179">
        <f t="shared" si="22"/>
        <v>15.386826225978419</v>
      </c>
      <c r="AD42" s="179">
        <f t="shared" si="23"/>
        <v>16.129536485181834</v>
      </c>
      <c r="AE42" s="179">
        <f t="shared" si="24"/>
        <v>16.9080967969578</v>
      </c>
      <c r="AF42" s="179">
        <f t="shared" si="25"/>
        <v>17.724237615751406</v>
      </c>
      <c r="AG42" s="180">
        <v>4</v>
      </c>
    </row>
    <row r="43" spans="2:33" x14ac:dyDescent="0.2">
      <c r="B43" s="209"/>
      <c r="C43" s="210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179">
        <f t="shared" si="22"/>
        <v>14.002428786133722</v>
      </c>
      <c r="AD43" s="179">
        <f t="shared" si="23"/>
        <v>14.678315246440157</v>
      </c>
      <c r="AE43" s="179">
        <f t="shared" si="24"/>
        <v>15.386826225978419</v>
      </c>
      <c r="AF43" s="179">
        <f t="shared" si="25"/>
        <v>16.129536485181834</v>
      </c>
      <c r="AG43" s="180">
        <v>3</v>
      </c>
    </row>
    <row r="44" spans="2:33" x14ac:dyDescent="0.2">
      <c r="B44" s="209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210"/>
      <c r="AA44" s="210"/>
      <c r="AB44" s="210"/>
      <c r="AC44" s="210"/>
      <c r="AD44" s="179">
        <f t="shared" si="23"/>
        <v>13.357664596984142</v>
      </c>
      <c r="AE44" s="179">
        <f t="shared" si="24"/>
        <v>14.002428786133718</v>
      </c>
      <c r="AF44" s="179">
        <f t="shared" si="25"/>
        <v>14.67831524644015</v>
      </c>
      <c r="AG44" s="180">
        <v>2</v>
      </c>
    </row>
    <row r="45" spans="2:33" x14ac:dyDescent="0.2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179">
        <f t="shared" si="24"/>
        <v>12.742589604327495</v>
      </c>
      <c r="AF45" s="179">
        <f t="shared" si="25"/>
        <v>13.357664596984147</v>
      </c>
      <c r="AG45" s="180">
        <v>1</v>
      </c>
    </row>
    <row r="46" spans="2:33" x14ac:dyDescent="0.2">
      <c r="B46" s="211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  <c r="AA46" s="212"/>
      <c r="AB46" s="212"/>
      <c r="AC46" s="212"/>
      <c r="AD46" s="212"/>
      <c r="AE46" s="213"/>
      <c r="AF46" s="186">
        <f t="shared" si="25"/>
        <v>12.15583672171072</v>
      </c>
      <c r="AG46" s="187">
        <v>0</v>
      </c>
    </row>
    <row r="47" spans="2:33" x14ac:dyDescent="0.2">
      <c r="B47" s="188" t="s">
        <v>13</v>
      </c>
      <c r="C47" s="189"/>
      <c r="D47" s="189"/>
      <c r="E47" s="190"/>
      <c r="F47" s="166"/>
    </row>
    <row r="48" spans="2:33" x14ac:dyDescent="0.2">
      <c r="B48" s="131"/>
      <c r="C48" s="20"/>
      <c r="D48" s="20"/>
      <c r="E48" s="15"/>
      <c r="F48" s="166"/>
    </row>
    <row r="49" spans="1:33" x14ac:dyDescent="0.2">
      <c r="A49" s="170" t="s">
        <v>14</v>
      </c>
      <c r="B49" s="170">
        <v>0</v>
      </c>
      <c r="C49" s="170">
        <v>1</v>
      </c>
      <c r="D49" s="170">
        <v>2</v>
      </c>
      <c r="E49" s="170">
        <v>3</v>
      </c>
      <c r="F49" s="170">
        <v>4</v>
      </c>
      <c r="G49" s="170">
        <v>5</v>
      </c>
      <c r="H49" s="170">
        <v>6</v>
      </c>
      <c r="I49" s="170">
        <v>7</v>
      </c>
      <c r="J49" s="170">
        <v>8</v>
      </c>
      <c r="K49" s="170">
        <v>9</v>
      </c>
      <c r="L49" s="170">
        <v>10</v>
      </c>
      <c r="M49" s="170">
        <v>11</v>
      </c>
      <c r="N49" s="170">
        <v>12</v>
      </c>
      <c r="O49" s="170">
        <v>13</v>
      </c>
      <c r="P49" s="170">
        <v>14</v>
      </c>
      <c r="Q49" s="170">
        <v>15</v>
      </c>
      <c r="R49" s="170">
        <v>16</v>
      </c>
      <c r="S49" s="170">
        <v>17</v>
      </c>
      <c r="T49" s="170">
        <v>18</v>
      </c>
      <c r="U49" s="170">
        <v>19</v>
      </c>
      <c r="V49" s="170">
        <v>20</v>
      </c>
      <c r="W49" s="170">
        <v>21</v>
      </c>
      <c r="X49" s="170">
        <v>22</v>
      </c>
      <c r="Y49" s="170">
        <v>23</v>
      </c>
      <c r="Z49" s="170">
        <v>24</v>
      </c>
      <c r="AA49" s="170">
        <v>25</v>
      </c>
      <c r="AB49" s="170">
        <v>26</v>
      </c>
      <c r="AC49" s="170">
        <v>27</v>
      </c>
      <c r="AD49" s="170">
        <v>28</v>
      </c>
      <c r="AE49" s="170">
        <v>29</v>
      </c>
      <c r="AF49" s="171">
        <v>30</v>
      </c>
      <c r="AG49" s="170" t="s">
        <v>15</v>
      </c>
    </row>
    <row r="50" spans="1:33" x14ac:dyDescent="0.2">
      <c r="B50" s="172" t="s">
        <v>10</v>
      </c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4"/>
    </row>
    <row r="51" spans="1:33" x14ac:dyDescent="0.2">
      <c r="B51" s="175">
        <v>30</v>
      </c>
      <c r="C51" s="206">
        <v>29</v>
      </c>
      <c r="D51" s="206">
        <v>28</v>
      </c>
      <c r="E51" s="206">
        <v>27</v>
      </c>
      <c r="F51" s="206">
        <v>26</v>
      </c>
      <c r="G51" s="206">
        <v>25</v>
      </c>
      <c r="H51" s="206">
        <v>24</v>
      </c>
      <c r="I51" s="206">
        <v>23</v>
      </c>
      <c r="J51" s="206">
        <v>22</v>
      </c>
      <c r="K51" s="206">
        <v>21</v>
      </c>
      <c r="L51" s="206">
        <v>20</v>
      </c>
      <c r="M51" s="206">
        <v>19</v>
      </c>
      <c r="N51" s="206">
        <v>18</v>
      </c>
      <c r="O51" s="206">
        <v>17</v>
      </c>
      <c r="P51" s="206">
        <v>16</v>
      </c>
      <c r="Q51" s="206">
        <v>15</v>
      </c>
      <c r="R51" s="206">
        <v>14</v>
      </c>
      <c r="S51" s="206">
        <v>13</v>
      </c>
      <c r="T51" s="206">
        <v>12</v>
      </c>
      <c r="U51" s="206">
        <v>11</v>
      </c>
      <c r="V51" s="206">
        <v>10</v>
      </c>
      <c r="W51" s="206">
        <v>9</v>
      </c>
      <c r="X51" s="206">
        <v>8</v>
      </c>
      <c r="Y51" s="206">
        <v>7</v>
      </c>
      <c r="Z51" s="206">
        <v>6</v>
      </c>
      <c r="AA51" s="206">
        <v>5</v>
      </c>
      <c r="AB51" s="206">
        <v>4</v>
      </c>
      <c r="AC51" s="206">
        <v>3</v>
      </c>
      <c r="AD51" s="206">
        <v>2</v>
      </c>
      <c r="AE51" s="206">
        <v>1</v>
      </c>
      <c r="AF51" s="206">
        <v>0</v>
      </c>
      <c r="AG51" s="177" t="s">
        <v>18</v>
      </c>
    </row>
    <row r="52" spans="1:33" x14ac:dyDescent="0.2">
      <c r="B52" s="214">
        <f t="shared" ref="B52:AE52" si="26">MAX((C52*Pu_1+C53*Pd_1)*EXP(-r_f1*delta_t1),$C$4-B16)</f>
        <v>4.2634266332395301</v>
      </c>
      <c r="C52" s="215">
        <f t="shared" si="26"/>
        <v>3.2952331183149068</v>
      </c>
      <c r="D52" s="215">
        <f t="shared" si="26"/>
        <v>2.4659248181419113</v>
      </c>
      <c r="E52" s="215">
        <f t="shared" si="26"/>
        <v>1.7777495553964333</v>
      </c>
      <c r="F52" s="215">
        <f t="shared" si="26"/>
        <v>1.2273146240542063</v>
      </c>
      <c r="G52" s="215">
        <f t="shared" si="26"/>
        <v>0.80554130545144165</v>
      </c>
      <c r="H52" s="215">
        <f t="shared" si="26"/>
        <v>0.49820214221603121</v>
      </c>
      <c r="I52" s="215">
        <f t="shared" si="26"/>
        <v>0.28712806310164307</v>
      </c>
      <c r="J52" s="215">
        <f t="shared" si="26"/>
        <v>0.15201201438490169</v>
      </c>
      <c r="K52" s="215">
        <f t="shared" si="26"/>
        <v>7.2533017863379318E-2</v>
      </c>
      <c r="L52" s="215">
        <f t="shared" si="26"/>
        <v>3.0378624496302173E-2</v>
      </c>
      <c r="M52" s="215">
        <f t="shared" si="26"/>
        <v>1.0742119335170768E-2</v>
      </c>
      <c r="N52" s="215">
        <f t="shared" si="26"/>
        <v>3.0131067820081568E-3</v>
      </c>
      <c r="O52" s="215">
        <f t="shared" si="26"/>
        <v>5.9736963572146586E-4</v>
      </c>
      <c r="P52" s="215">
        <f t="shared" si="26"/>
        <v>6.2961996446991768E-5</v>
      </c>
      <c r="Q52" s="215">
        <f t="shared" si="26"/>
        <v>1.9431268561982709E-18</v>
      </c>
      <c r="R52" s="215">
        <f t="shared" si="26"/>
        <v>0</v>
      </c>
      <c r="S52" s="215">
        <f t="shared" si="26"/>
        <v>0</v>
      </c>
      <c r="T52" s="215">
        <f t="shared" si="26"/>
        <v>0</v>
      </c>
      <c r="U52" s="215">
        <f t="shared" si="26"/>
        <v>0</v>
      </c>
      <c r="V52" s="215">
        <f t="shared" si="26"/>
        <v>0</v>
      </c>
      <c r="W52" s="215">
        <f t="shared" si="26"/>
        <v>0</v>
      </c>
      <c r="X52" s="215">
        <f t="shared" si="26"/>
        <v>0</v>
      </c>
      <c r="Y52" s="215">
        <f t="shared" si="26"/>
        <v>0</v>
      </c>
      <c r="Z52" s="215">
        <f t="shared" si="26"/>
        <v>0</v>
      </c>
      <c r="AA52" s="215">
        <f t="shared" si="26"/>
        <v>0</v>
      </c>
      <c r="AB52" s="215">
        <f t="shared" si="26"/>
        <v>0</v>
      </c>
      <c r="AC52" s="215">
        <f t="shared" si="26"/>
        <v>0</v>
      </c>
      <c r="AD52" s="215">
        <f t="shared" si="26"/>
        <v>0</v>
      </c>
      <c r="AE52" s="215">
        <f t="shared" si="26"/>
        <v>0</v>
      </c>
      <c r="AF52" s="216">
        <f>MAX($C$4-AF16,0)</f>
        <v>0</v>
      </c>
      <c r="AG52" s="180">
        <v>30</v>
      </c>
    </row>
    <row r="53" spans="1:33" x14ac:dyDescent="0.2">
      <c r="B53" s="181"/>
      <c r="C53" s="217">
        <f t="shared" ref="C53:AE53" si="27">MAX((D53*Pu_1+D54*Pd_1)*EXP(-r_f1*delta_t1),$C$4-C17)</f>
        <v>5.2550468151006413</v>
      </c>
      <c r="D53" s="217">
        <f t="shared" si="27"/>
        <v>4.143610408358616</v>
      </c>
      <c r="E53" s="217">
        <f t="shared" si="27"/>
        <v>3.1691730366161601</v>
      </c>
      <c r="F53" s="217">
        <f t="shared" si="27"/>
        <v>2.3396963638217465</v>
      </c>
      <c r="G53" s="217">
        <f t="shared" si="27"/>
        <v>1.657531777475878</v>
      </c>
      <c r="H53" s="217">
        <f t="shared" si="27"/>
        <v>1.1187850946480864</v>
      </c>
      <c r="I53" s="217">
        <f t="shared" si="27"/>
        <v>0.71317752741526097</v>
      </c>
      <c r="J53" s="217">
        <f t="shared" si="27"/>
        <v>0.42465258815612839</v>
      </c>
      <c r="K53" s="217">
        <f t="shared" si="27"/>
        <v>0.23286053003192014</v>
      </c>
      <c r="L53" s="217">
        <f t="shared" si="27"/>
        <v>0.11539115606072833</v>
      </c>
      <c r="M53" s="217">
        <f t="shared" si="27"/>
        <v>5.0333418301455393E-2</v>
      </c>
      <c r="N53" s="217">
        <f t="shared" si="27"/>
        <v>1.859301414599776E-2</v>
      </c>
      <c r="O53" s="217">
        <f t="shared" si="27"/>
        <v>5.4659757762796374E-3</v>
      </c>
      <c r="P53" s="217">
        <f t="shared" si="27"/>
        <v>1.1397980915476467E-3</v>
      </c>
      <c r="Q53" s="217">
        <f t="shared" si="27"/>
        <v>1.2684823454282832E-4</v>
      </c>
      <c r="R53" s="217">
        <f t="shared" si="27"/>
        <v>3.9147775660040609E-18</v>
      </c>
      <c r="S53" s="217">
        <f t="shared" si="27"/>
        <v>0</v>
      </c>
      <c r="T53" s="217">
        <f t="shared" si="27"/>
        <v>0</v>
      </c>
      <c r="U53" s="217">
        <f t="shared" si="27"/>
        <v>0</v>
      </c>
      <c r="V53" s="217">
        <f t="shared" si="27"/>
        <v>0</v>
      </c>
      <c r="W53" s="217">
        <f t="shared" si="27"/>
        <v>0</v>
      </c>
      <c r="X53" s="217">
        <f t="shared" si="27"/>
        <v>0</v>
      </c>
      <c r="Y53" s="217">
        <f t="shared" si="27"/>
        <v>0</v>
      </c>
      <c r="Z53" s="217">
        <f t="shared" si="27"/>
        <v>0</v>
      </c>
      <c r="AA53" s="217">
        <f t="shared" si="27"/>
        <v>0</v>
      </c>
      <c r="AB53" s="217">
        <f t="shared" si="27"/>
        <v>0</v>
      </c>
      <c r="AC53" s="217">
        <f t="shared" si="27"/>
        <v>0</v>
      </c>
      <c r="AD53" s="217">
        <f t="shared" si="27"/>
        <v>0</v>
      </c>
      <c r="AE53" s="217">
        <f t="shared" si="27"/>
        <v>0</v>
      </c>
      <c r="AF53" s="218">
        <f t="shared" ref="AF53:AF82" si="28">MAX($C$4-AF17,0)</f>
        <v>0</v>
      </c>
      <c r="AG53" s="180">
        <v>29</v>
      </c>
    </row>
    <row r="54" spans="1:33" x14ac:dyDescent="0.2">
      <c r="B54" s="181"/>
      <c r="C54" s="182"/>
      <c r="D54" s="217">
        <f t="shared" ref="D54:AE54" si="29">MAX((E54*Pu_1+E55*Pd_1)*EXP(-r_f1*delta_t1),$C$4-D18)</f>
        <v>6.3943848549016895</v>
      </c>
      <c r="E54" s="217">
        <f t="shared" si="29"/>
        <v>5.1412136106801709</v>
      </c>
      <c r="F54" s="217">
        <f t="shared" si="29"/>
        <v>4.0173682079124831</v>
      </c>
      <c r="G54" s="217">
        <f t="shared" si="29"/>
        <v>3.0365095172531875</v>
      </c>
      <c r="H54" s="217">
        <f t="shared" si="29"/>
        <v>2.2073152885884872</v>
      </c>
      <c r="I54" s="217">
        <f t="shared" si="29"/>
        <v>1.5323409240907686</v>
      </c>
      <c r="J54" s="217">
        <f t="shared" si="29"/>
        <v>1.0071252509258788</v>
      </c>
      <c r="K54" s="217">
        <f t="shared" si="29"/>
        <v>0.61991116053614292</v>
      </c>
      <c r="L54" s="217">
        <f t="shared" si="29"/>
        <v>0.352376938390498</v>
      </c>
      <c r="M54" s="217">
        <f t="shared" si="29"/>
        <v>0.18154464309183266</v>
      </c>
      <c r="N54" s="217">
        <f t="shared" si="29"/>
        <v>8.2591741416867911E-2</v>
      </c>
      <c r="O54" s="217">
        <f t="shared" si="29"/>
        <v>3.1928033093559897E-2</v>
      </c>
      <c r="P54" s="217">
        <f t="shared" si="29"/>
        <v>9.8588460996601231E-3</v>
      </c>
      <c r="Q54" s="217">
        <f t="shared" si="29"/>
        <v>2.1679720975526103E-3</v>
      </c>
      <c r="R54" s="217">
        <f t="shared" si="29"/>
        <v>2.5555851965683917E-4</v>
      </c>
      <c r="S54" s="217">
        <f t="shared" si="29"/>
        <v>7.8870215510648638E-18</v>
      </c>
      <c r="T54" s="217">
        <f t="shared" si="29"/>
        <v>0</v>
      </c>
      <c r="U54" s="217">
        <f t="shared" si="29"/>
        <v>0</v>
      </c>
      <c r="V54" s="217">
        <f t="shared" si="29"/>
        <v>0</v>
      </c>
      <c r="W54" s="217">
        <f t="shared" si="29"/>
        <v>0</v>
      </c>
      <c r="X54" s="217">
        <f t="shared" si="29"/>
        <v>0</v>
      </c>
      <c r="Y54" s="217">
        <f t="shared" si="29"/>
        <v>0</v>
      </c>
      <c r="Z54" s="217">
        <f t="shared" si="29"/>
        <v>0</v>
      </c>
      <c r="AA54" s="217">
        <f t="shared" si="29"/>
        <v>0</v>
      </c>
      <c r="AB54" s="217">
        <f t="shared" si="29"/>
        <v>0</v>
      </c>
      <c r="AC54" s="217">
        <f t="shared" si="29"/>
        <v>0</v>
      </c>
      <c r="AD54" s="217">
        <f t="shared" si="29"/>
        <v>0</v>
      </c>
      <c r="AE54" s="217">
        <f t="shared" si="29"/>
        <v>0</v>
      </c>
      <c r="AF54" s="218">
        <f t="shared" si="28"/>
        <v>0</v>
      </c>
      <c r="AG54" s="180">
        <v>28</v>
      </c>
    </row>
    <row r="55" spans="1:33" x14ac:dyDescent="0.2">
      <c r="B55" s="181"/>
      <c r="C55" s="182"/>
      <c r="D55" s="133"/>
      <c r="E55" s="217">
        <f t="shared" ref="E55:AE55" si="30">MAX((F55*Pu_1+F56*Pd_1)*EXP(-r_f1*delta_t1),$C$4-E19)</f>
        <v>7.6803278300392908</v>
      </c>
      <c r="F55" s="217">
        <f t="shared" si="30"/>
        <v>6.2927898011866592</v>
      </c>
      <c r="G55" s="217">
        <f t="shared" si="30"/>
        <v>5.0211160331354687</v>
      </c>
      <c r="H55" s="217">
        <f t="shared" si="30"/>
        <v>3.8840479312475757</v>
      </c>
      <c r="I55" s="217">
        <f t="shared" si="30"/>
        <v>2.8964826107288695</v>
      </c>
      <c r="J55" s="217">
        <f t="shared" si="30"/>
        <v>2.0680825731342338</v>
      </c>
      <c r="K55" s="217">
        <f t="shared" si="30"/>
        <v>1.4017568054978629</v>
      </c>
      <c r="L55" s="217">
        <f t="shared" si="30"/>
        <v>0.89235793782399875</v>
      </c>
      <c r="M55" s="217">
        <f t="shared" si="30"/>
        <v>0.52622458140617745</v>
      </c>
      <c r="N55" s="217">
        <f t="shared" si="30"/>
        <v>0.28218105474534178</v>
      </c>
      <c r="O55" s="217">
        <f t="shared" si="30"/>
        <v>0.13408843833870643</v>
      </c>
      <c r="P55" s="217">
        <f t="shared" si="30"/>
        <v>5.4348749108179481E-2</v>
      </c>
      <c r="Q55" s="217">
        <f t="shared" si="30"/>
        <v>1.766867932454242E-2</v>
      </c>
      <c r="R55" s="217">
        <f t="shared" si="30"/>
        <v>4.1091732766055907E-3</v>
      </c>
      <c r="S55" s="217">
        <f t="shared" si="30"/>
        <v>5.14868474161886E-4</v>
      </c>
      <c r="T55" s="217">
        <f t="shared" si="30"/>
        <v>1.5889819510347392E-17</v>
      </c>
      <c r="U55" s="217">
        <f t="shared" si="30"/>
        <v>0</v>
      </c>
      <c r="V55" s="217">
        <f t="shared" si="30"/>
        <v>0</v>
      </c>
      <c r="W55" s="217">
        <f t="shared" si="30"/>
        <v>0</v>
      </c>
      <c r="X55" s="217">
        <f t="shared" si="30"/>
        <v>0</v>
      </c>
      <c r="Y55" s="217">
        <f t="shared" si="30"/>
        <v>0</v>
      </c>
      <c r="Z55" s="217">
        <f t="shared" si="30"/>
        <v>0</v>
      </c>
      <c r="AA55" s="217">
        <f t="shared" si="30"/>
        <v>0</v>
      </c>
      <c r="AB55" s="217">
        <f t="shared" si="30"/>
        <v>0</v>
      </c>
      <c r="AC55" s="217">
        <f t="shared" si="30"/>
        <v>0</v>
      </c>
      <c r="AD55" s="217">
        <f t="shared" si="30"/>
        <v>0</v>
      </c>
      <c r="AE55" s="217">
        <f t="shared" si="30"/>
        <v>0</v>
      </c>
      <c r="AF55" s="218">
        <f t="shared" si="28"/>
        <v>0</v>
      </c>
      <c r="AG55" s="180">
        <v>27</v>
      </c>
    </row>
    <row r="56" spans="1:33" x14ac:dyDescent="0.2">
      <c r="B56" s="181"/>
      <c r="C56" s="182"/>
      <c r="D56" s="133"/>
      <c r="E56" s="182"/>
      <c r="F56" s="217">
        <f t="shared" ref="F56:AE56" si="31">MAX((G56*Pu_1+G57*Pd_1)*EXP(-r_f1*delta_t1),$C$4-F20)</f>
        <v>9.1058300722722727</v>
      </c>
      <c r="G56" s="217">
        <f t="shared" si="31"/>
        <v>7.597171085645182</v>
      </c>
      <c r="H56" s="217">
        <f t="shared" si="31"/>
        <v>6.1857362301974108</v>
      </c>
      <c r="I56" s="217">
        <f t="shared" si="31"/>
        <v>4.8942092888196216</v>
      </c>
      <c r="J56" s="217">
        <f t="shared" si="31"/>
        <v>3.7428258496473146</v>
      </c>
      <c r="K56" s="217">
        <f t="shared" si="31"/>
        <v>2.7481092001873768</v>
      </c>
      <c r="L56" s="217">
        <f t="shared" si="31"/>
        <v>1.9211285534512281</v>
      </c>
      <c r="M56" s="217">
        <f t="shared" si="31"/>
        <v>1.2653373381812514</v>
      </c>
      <c r="N56" s="217">
        <f t="shared" si="31"/>
        <v>0.77463955151483632</v>
      </c>
      <c r="O56" s="217">
        <f t="shared" si="31"/>
        <v>0.43282251684015083</v>
      </c>
      <c r="P56" s="217">
        <f t="shared" si="31"/>
        <v>0.21515062621650355</v>
      </c>
      <c r="Q56" s="217">
        <f t="shared" si="31"/>
        <v>9.1616664322241886E-2</v>
      </c>
      <c r="R56" s="217">
        <f t="shared" si="31"/>
        <v>3.1438720374900177E-2</v>
      </c>
      <c r="S56" s="217">
        <f t="shared" si="31"/>
        <v>7.757679851199119E-3</v>
      </c>
      <c r="T56" s="217">
        <f t="shared" si="31"/>
        <v>1.0372948866731097E-3</v>
      </c>
      <c r="U56" s="217">
        <f t="shared" si="31"/>
        <v>3.2012891360405532E-17</v>
      </c>
      <c r="V56" s="217">
        <f t="shared" si="31"/>
        <v>0</v>
      </c>
      <c r="W56" s="217">
        <f t="shared" si="31"/>
        <v>0</v>
      </c>
      <c r="X56" s="217">
        <f t="shared" si="31"/>
        <v>0</v>
      </c>
      <c r="Y56" s="217">
        <f t="shared" si="31"/>
        <v>0</v>
      </c>
      <c r="Z56" s="217">
        <f t="shared" si="31"/>
        <v>0</v>
      </c>
      <c r="AA56" s="217">
        <f t="shared" si="31"/>
        <v>0</v>
      </c>
      <c r="AB56" s="217">
        <f t="shared" si="31"/>
        <v>0</v>
      </c>
      <c r="AC56" s="217">
        <f t="shared" si="31"/>
        <v>0</v>
      </c>
      <c r="AD56" s="217">
        <f t="shared" si="31"/>
        <v>0</v>
      </c>
      <c r="AE56" s="217">
        <f t="shared" si="31"/>
        <v>0</v>
      </c>
      <c r="AF56" s="218">
        <f t="shared" si="28"/>
        <v>0</v>
      </c>
      <c r="AG56" s="180">
        <v>26</v>
      </c>
    </row>
    <row r="57" spans="1:33" x14ac:dyDescent="0.2">
      <c r="B57" s="181"/>
      <c r="C57" s="182"/>
      <c r="D57" s="182"/>
      <c r="E57" s="182"/>
      <c r="F57" s="182"/>
      <c r="G57" s="217">
        <f t="shared" ref="G57:AE57" si="32">MAX((H57*Pu_1+H58*Pd_1)*EXP(-r_f1*delta_t1),$C$4-G21)</f>
        <v>10.657878591712473</v>
      </c>
      <c r="H57" s="217">
        <f t="shared" si="32"/>
        <v>9.0466215988205061</v>
      </c>
      <c r="I57" s="217">
        <f t="shared" si="32"/>
        <v>7.5099072601883172</v>
      </c>
      <c r="J57" s="217">
        <f t="shared" si="32"/>
        <v>6.0729600746146781</v>
      </c>
      <c r="K57" s="217">
        <f t="shared" si="32"/>
        <v>4.7598286278563009</v>
      </c>
      <c r="L57" s="217">
        <f t="shared" si="32"/>
        <v>3.5926012962179552</v>
      </c>
      <c r="M57" s="217">
        <f t="shared" si="32"/>
        <v>2.5900845283579268</v>
      </c>
      <c r="N57" s="217">
        <f t="shared" si="32"/>
        <v>1.7654043183566692</v>
      </c>
      <c r="O57" s="217">
        <f t="shared" si="32"/>
        <v>1.1226845091031341</v>
      </c>
      <c r="P57" s="217">
        <f t="shared" si="32"/>
        <v>0.65429130018119253</v>
      </c>
      <c r="Q57" s="217">
        <f t="shared" si="32"/>
        <v>0.34075416795922836</v>
      </c>
      <c r="R57" s="217">
        <f t="shared" si="32"/>
        <v>0.152765891505561</v>
      </c>
      <c r="S57" s="217">
        <f t="shared" si="32"/>
        <v>5.5489075562924033E-2</v>
      </c>
      <c r="T57" s="217">
        <f t="shared" si="32"/>
        <v>1.4579616256867413E-2</v>
      </c>
      <c r="U57" s="217">
        <f t="shared" si="32"/>
        <v>2.0898165957231782E-3</v>
      </c>
      <c r="V57" s="217">
        <f t="shared" si="32"/>
        <v>6.4495711394692999E-17</v>
      </c>
      <c r="W57" s="217">
        <f t="shared" si="32"/>
        <v>0</v>
      </c>
      <c r="X57" s="217">
        <f t="shared" si="32"/>
        <v>0</v>
      </c>
      <c r="Y57" s="217">
        <f t="shared" si="32"/>
        <v>0</v>
      </c>
      <c r="Z57" s="217">
        <f t="shared" si="32"/>
        <v>0</v>
      </c>
      <c r="AA57" s="217">
        <f t="shared" si="32"/>
        <v>0</v>
      </c>
      <c r="AB57" s="217">
        <f t="shared" si="32"/>
        <v>0</v>
      </c>
      <c r="AC57" s="217">
        <f t="shared" si="32"/>
        <v>0</v>
      </c>
      <c r="AD57" s="217">
        <f t="shared" si="32"/>
        <v>0</v>
      </c>
      <c r="AE57" s="217">
        <f t="shared" si="32"/>
        <v>0</v>
      </c>
      <c r="AF57" s="218">
        <f t="shared" si="28"/>
        <v>0</v>
      </c>
      <c r="AG57" s="180">
        <v>25</v>
      </c>
    </row>
    <row r="58" spans="1:33" x14ac:dyDescent="0.2">
      <c r="B58" s="181"/>
      <c r="C58" s="182"/>
      <c r="D58" s="182"/>
      <c r="E58" s="182"/>
      <c r="F58" s="182"/>
      <c r="G58" s="182"/>
      <c r="H58" s="217">
        <f t="shared" ref="H58:AE58" si="33">MAX((I58*Pu_1+I59*Pd_1)*EXP(-r_f1*delta_t1),$C$4-H22)</f>
        <v>12.318084177811755</v>
      </c>
      <c r="I58" s="217">
        <f t="shared" si="33"/>
        <v>10.626893295645354</v>
      </c>
      <c r="J58" s="217">
        <f t="shared" si="33"/>
        <v>8.9849292607648934</v>
      </c>
      <c r="K58" s="217">
        <f t="shared" si="33"/>
        <v>7.4186769918797282</v>
      </c>
      <c r="L58" s="217">
        <f t="shared" si="33"/>
        <v>5.9542358228506131</v>
      </c>
      <c r="M58" s="217">
        <f t="shared" si="33"/>
        <v>4.6170768212514446</v>
      </c>
      <c r="N58" s="217">
        <f t="shared" si="33"/>
        <v>3.431806978954465</v>
      </c>
      <c r="O58" s="217">
        <f t="shared" si="33"/>
        <v>2.4206981182128016</v>
      </c>
      <c r="P58" s="217">
        <f t="shared" si="33"/>
        <v>1.5997829740566749</v>
      </c>
      <c r="Q58" s="217">
        <f t="shared" si="33"/>
        <v>0.97338378084025079</v>
      </c>
      <c r="R58" s="217">
        <f t="shared" si="33"/>
        <v>0.53192915908736949</v>
      </c>
      <c r="S58" s="217">
        <f t="shared" si="33"/>
        <v>0.25162582845398479</v>
      </c>
      <c r="T58" s="217">
        <f t="shared" si="33"/>
        <v>9.70398273090637E-2</v>
      </c>
      <c r="U58" s="217">
        <f t="shared" si="33"/>
        <v>2.7258601745449633E-2</v>
      </c>
      <c r="V58" s="217">
        <f t="shared" si="33"/>
        <v>4.2103103561681029E-3</v>
      </c>
      <c r="W58" s="217">
        <f t="shared" si="33"/>
        <v>1.2993817838810913E-16</v>
      </c>
      <c r="X58" s="217">
        <f t="shared" si="33"/>
        <v>0</v>
      </c>
      <c r="Y58" s="217">
        <f t="shared" si="33"/>
        <v>0</v>
      </c>
      <c r="Z58" s="217">
        <f t="shared" si="33"/>
        <v>0</v>
      </c>
      <c r="AA58" s="217">
        <f t="shared" si="33"/>
        <v>0</v>
      </c>
      <c r="AB58" s="217">
        <f t="shared" si="33"/>
        <v>0</v>
      </c>
      <c r="AC58" s="217">
        <f t="shared" si="33"/>
        <v>0</v>
      </c>
      <c r="AD58" s="217">
        <f t="shared" si="33"/>
        <v>0</v>
      </c>
      <c r="AE58" s="217">
        <f t="shared" si="33"/>
        <v>0</v>
      </c>
      <c r="AF58" s="218">
        <f t="shared" si="28"/>
        <v>0</v>
      </c>
      <c r="AG58" s="180">
        <v>24</v>
      </c>
    </row>
    <row r="59" spans="1:33" x14ac:dyDescent="0.2">
      <c r="B59" s="181"/>
      <c r="C59" s="182"/>
      <c r="D59" s="182"/>
      <c r="E59" s="182"/>
      <c r="F59" s="182"/>
      <c r="G59" s="182"/>
      <c r="H59" s="182"/>
      <c r="I59" s="217">
        <f t="shared" ref="I59:AE59" si="34">MAX((J59*Pu_1+J60*Pd_1)*EXP(-r_f1*delta_t1),$C$4-I23)</f>
        <v>14.053208153214896</v>
      </c>
      <c r="J59" s="217">
        <f t="shared" si="34"/>
        <v>12.318084177811748</v>
      </c>
      <c r="K59" s="217">
        <f t="shared" si="34"/>
        <v>10.594917385457526</v>
      </c>
      <c r="L59" s="217">
        <f t="shared" si="34"/>
        <v>8.9212645903783052</v>
      </c>
      <c r="M59" s="217">
        <f t="shared" si="34"/>
        <v>7.3239338380648631</v>
      </c>
      <c r="N59" s="217">
        <f t="shared" si="34"/>
        <v>5.829341762517803</v>
      </c>
      <c r="O59" s="217">
        <f t="shared" si="34"/>
        <v>4.4645270810107629</v>
      </c>
      <c r="P59" s="217">
        <f t="shared" si="34"/>
        <v>3.2581371199215128</v>
      </c>
      <c r="Q59" s="217">
        <f t="shared" si="34"/>
        <v>2.2380991035144455</v>
      </c>
      <c r="R59" s="217">
        <f t="shared" si="34"/>
        <v>1.4228060655808819</v>
      </c>
      <c r="S59" s="217">
        <f t="shared" si="34"/>
        <v>0.81705076454867587</v>
      </c>
      <c r="T59" s="217">
        <f t="shared" si="34"/>
        <v>0.40875239780552092</v>
      </c>
      <c r="U59" s="217">
        <f t="shared" si="34"/>
        <v>0.16792161756581564</v>
      </c>
      <c r="V59" s="217">
        <f t="shared" si="34"/>
        <v>5.065700021040629E-2</v>
      </c>
      <c r="W59" s="217">
        <f t="shared" si="34"/>
        <v>8.4824253628448549E-3</v>
      </c>
      <c r="X59" s="217">
        <f t="shared" si="34"/>
        <v>2.6178376573747441E-16</v>
      </c>
      <c r="Y59" s="217">
        <f t="shared" si="34"/>
        <v>0</v>
      </c>
      <c r="Z59" s="217">
        <f t="shared" si="34"/>
        <v>0</v>
      </c>
      <c r="AA59" s="217">
        <f t="shared" si="34"/>
        <v>0</v>
      </c>
      <c r="AB59" s="217">
        <f t="shared" si="34"/>
        <v>0</v>
      </c>
      <c r="AC59" s="217">
        <f t="shared" si="34"/>
        <v>0</v>
      </c>
      <c r="AD59" s="217">
        <f t="shared" si="34"/>
        <v>0</v>
      </c>
      <c r="AE59" s="217">
        <f t="shared" si="34"/>
        <v>0</v>
      </c>
      <c r="AF59" s="218">
        <f t="shared" si="28"/>
        <v>0</v>
      </c>
      <c r="AG59" s="180">
        <v>23</v>
      </c>
    </row>
    <row r="60" spans="1:33" x14ac:dyDescent="0.2">
      <c r="B60" s="181"/>
      <c r="C60" s="182"/>
      <c r="D60" s="182"/>
      <c r="E60" s="182"/>
      <c r="F60" s="182"/>
      <c r="G60" s="182"/>
      <c r="H60" s="182"/>
      <c r="I60" s="182"/>
      <c r="J60" s="217">
        <f t="shared" ref="J60:AE60" si="35">MAX((K60*Pu_1+K61*Pd_1)*EXP(-r_f1*delta_t1),$C$4-J24)</f>
        <v>15.708435574944254</v>
      </c>
      <c r="K60" s="217">
        <f t="shared" si="35"/>
        <v>14.053208153214896</v>
      </c>
      <c r="L60" s="217">
        <f t="shared" si="35"/>
        <v>12.318084177811762</v>
      </c>
      <c r="M60" s="217">
        <f t="shared" si="35"/>
        <v>10.562522487631671</v>
      </c>
      <c r="N60" s="217">
        <f t="shared" si="35"/>
        <v>8.8567657073074191</v>
      </c>
      <c r="O60" s="217">
        <f t="shared" si="35"/>
        <v>7.2266748620805918</v>
      </c>
      <c r="P60" s="217">
        <f t="shared" si="35"/>
        <v>5.6977365511000464</v>
      </c>
      <c r="Q60" s="217">
        <f t="shared" si="35"/>
        <v>4.299406864254073</v>
      </c>
      <c r="R60" s="217">
        <f t="shared" si="35"/>
        <v>3.069338603103045</v>
      </c>
      <c r="S60" s="217">
        <f t="shared" si="35"/>
        <v>2.0397381217283908</v>
      </c>
      <c r="T60" s="217">
        <f t="shared" si="35"/>
        <v>1.2324856520071497</v>
      </c>
      <c r="U60" s="217">
        <f t="shared" si="35"/>
        <v>0.65358796551641996</v>
      </c>
      <c r="V60" s="217">
        <f t="shared" si="35"/>
        <v>0.28704925244504398</v>
      </c>
      <c r="W60" s="217">
        <f t="shared" si="35"/>
        <v>9.3474389472765596E-2</v>
      </c>
      <c r="X60" s="217">
        <f t="shared" si="35"/>
        <v>1.7089367279261178E-2</v>
      </c>
      <c r="Y60" s="217">
        <f t="shared" si="35"/>
        <v>5.2741034893532301E-16</v>
      </c>
      <c r="Z60" s="217">
        <f t="shared" si="35"/>
        <v>0</v>
      </c>
      <c r="AA60" s="217">
        <f t="shared" si="35"/>
        <v>0</v>
      </c>
      <c r="AB60" s="217">
        <f t="shared" si="35"/>
        <v>0</v>
      </c>
      <c r="AC60" s="217">
        <f t="shared" si="35"/>
        <v>0</v>
      </c>
      <c r="AD60" s="217">
        <f t="shared" si="35"/>
        <v>0</v>
      </c>
      <c r="AE60" s="217">
        <f t="shared" si="35"/>
        <v>0</v>
      </c>
      <c r="AF60" s="218">
        <f t="shared" si="28"/>
        <v>0</v>
      </c>
      <c r="AG60" s="180">
        <v>22</v>
      </c>
    </row>
    <row r="61" spans="1:33" x14ac:dyDescent="0.2">
      <c r="B61" s="181"/>
      <c r="C61" s="182"/>
      <c r="D61" s="182"/>
      <c r="E61" s="182"/>
      <c r="F61" s="182"/>
      <c r="G61" s="182"/>
      <c r="H61" s="182"/>
      <c r="I61" s="182"/>
      <c r="J61" s="182"/>
      <c r="K61" s="217">
        <f t="shared" ref="K61:AE61" si="36">MAX((L61*Pu_1+L62*Pd_1)*EXP(-r_f1*delta_t1),$C$4-K25)</f>
        <v>17.287445407373212</v>
      </c>
      <c r="L61" s="217">
        <f t="shared" si="36"/>
        <v>15.708435574944247</v>
      </c>
      <c r="M61" s="217">
        <f t="shared" si="36"/>
        <v>14.053208153214904</v>
      </c>
      <c r="N61" s="217">
        <f t="shared" si="36"/>
        <v>12.318084177811762</v>
      </c>
      <c r="O61" s="217">
        <f t="shared" si="36"/>
        <v>10.530992636752197</v>
      </c>
      <c r="P61" s="217">
        <f t="shared" si="36"/>
        <v>8.7939891498368556</v>
      </c>
      <c r="Q61" s="217">
        <f t="shared" si="36"/>
        <v>7.1286149217127246</v>
      </c>
      <c r="R61" s="217">
        <f t="shared" si="36"/>
        <v>5.5561142937844883</v>
      </c>
      <c r="S61" s="217">
        <f t="shared" si="36"/>
        <v>4.1197565216048257</v>
      </c>
      <c r="T61" s="217">
        <f t="shared" si="36"/>
        <v>2.8622868443166327</v>
      </c>
      <c r="U61" s="217">
        <f t="shared" si="36"/>
        <v>1.8217087625697646</v>
      </c>
      <c r="V61" s="217">
        <f t="shared" si="36"/>
        <v>1.0263098852262897</v>
      </c>
      <c r="W61" s="217">
        <f t="shared" si="36"/>
        <v>0.48372704530048238</v>
      </c>
      <c r="X61" s="217">
        <f t="shared" si="36"/>
        <v>0.17102848039795537</v>
      </c>
      <c r="Y61" s="217">
        <f t="shared" si="36"/>
        <v>3.4429595488658149E-2</v>
      </c>
      <c r="Z61" s="217">
        <f t="shared" si="36"/>
        <v>1.0625627428823415E-15</v>
      </c>
      <c r="AA61" s="217">
        <f t="shared" si="36"/>
        <v>0</v>
      </c>
      <c r="AB61" s="217">
        <f t="shared" si="36"/>
        <v>0</v>
      </c>
      <c r="AC61" s="217">
        <f t="shared" si="36"/>
        <v>0</v>
      </c>
      <c r="AD61" s="217">
        <f t="shared" si="36"/>
        <v>0</v>
      </c>
      <c r="AE61" s="217">
        <f t="shared" si="36"/>
        <v>0</v>
      </c>
      <c r="AF61" s="218">
        <f t="shared" si="28"/>
        <v>0</v>
      </c>
      <c r="AG61" s="180">
        <v>21</v>
      </c>
    </row>
    <row r="62" spans="1:33" x14ac:dyDescent="0.2">
      <c r="B62" s="181"/>
      <c r="C62" s="182"/>
      <c r="D62" s="182"/>
      <c r="E62" s="182"/>
      <c r="F62" s="182"/>
      <c r="G62" s="182"/>
      <c r="H62" s="182"/>
      <c r="I62" s="182"/>
      <c r="J62" s="182"/>
      <c r="K62" s="182"/>
      <c r="L62" s="217">
        <f t="shared" ref="L62:AE62" si="37">MAX((M62*Pu_1+M63*Pd_1)*EXP(-r_f1*delta_t1),$C$4-L26)</f>
        <v>18.793747211086941</v>
      </c>
      <c r="M62" s="217">
        <f t="shared" si="37"/>
        <v>17.287445407373212</v>
      </c>
      <c r="N62" s="217">
        <f t="shared" si="37"/>
        <v>15.708435574944261</v>
      </c>
      <c r="O62" s="217">
        <f t="shared" si="37"/>
        <v>14.053208153214911</v>
      </c>
      <c r="P62" s="217">
        <f t="shared" si="37"/>
        <v>12.31808417781177</v>
      </c>
      <c r="Q62" s="217">
        <f t="shared" si="37"/>
        <v>10.503743202057041</v>
      </c>
      <c r="R62" s="217">
        <f t="shared" si="37"/>
        <v>8.7397349857521682</v>
      </c>
      <c r="S62" s="217">
        <f t="shared" si="37"/>
        <v>7.0250766350765357</v>
      </c>
      <c r="T62" s="217">
        <f t="shared" si="37"/>
        <v>5.4036886394591006</v>
      </c>
      <c r="U62" s="217">
        <f t="shared" si="37"/>
        <v>3.9232338484915719</v>
      </c>
      <c r="V62" s="217">
        <f t="shared" si="37"/>
        <v>2.6316533761364003</v>
      </c>
      <c r="W62" s="217">
        <f t="shared" si="37"/>
        <v>1.5782101015147931</v>
      </c>
      <c r="X62" s="217">
        <f t="shared" si="37"/>
        <v>0.80149405805412433</v>
      </c>
      <c r="Y62" s="217">
        <f t="shared" si="37"/>
        <v>0.30972882200420776</v>
      </c>
      <c r="Z62" s="217">
        <f t="shared" si="37"/>
        <v>6.9364595314840558E-2</v>
      </c>
      <c r="AA62" s="217">
        <f t="shared" si="37"/>
        <v>2.1407232240338548E-15</v>
      </c>
      <c r="AB62" s="217">
        <f t="shared" si="37"/>
        <v>0</v>
      </c>
      <c r="AC62" s="217">
        <f t="shared" si="37"/>
        <v>0</v>
      </c>
      <c r="AD62" s="217">
        <f t="shared" si="37"/>
        <v>0</v>
      </c>
      <c r="AE62" s="217">
        <f t="shared" si="37"/>
        <v>0</v>
      </c>
      <c r="AF62" s="218">
        <f t="shared" si="28"/>
        <v>0</v>
      </c>
      <c r="AG62" s="180">
        <v>20</v>
      </c>
    </row>
    <row r="63" spans="1:33" x14ac:dyDescent="0.2">
      <c r="B63" s="181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217">
        <f t="shared" ref="M63:AE63" si="38">MAX((N63*Pu_1+N64*Pd_1)*EXP(-r_f1*delta_t1),$C$4-M27)</f>
        <v>20.230688943350223</v>
      </c>
      <c r="N63" s="217">
        <f t="shared" si="38"/>
        <v>18.793747211086941</v>
      </c>
      <c r="O63" s="217">
        <f t="shared" si="38"/>
        <v>17.28744540737322</v>
      </c>
      <c r="P63" s="217">
        <f t="shared" si="38"/>
        <v>15.708435574944261</v>
      </c>
      <c r="Q63" s="217">
        <f t="shared" si="38"/>
        <v>14.053208153214911</v>
      </c>
      <c r="R63" s="217">
        <f t="shared" si="38"/>
        <v>12.31808417781177</v>
      </c>
      <c r="S63" s="217">
        <f t="shared" si="38"/>
        <v>10.499207103582705</v>
      </c>
      <c r="T63" s="217">
        <f t="shared" si="38"/>
        <v>8.6853754857510754</v>
      </c>
      <c r="U63" s="217">
        <f t="shared" si="38"/>
        <v>6.9168457941209516</v>
      </c>
      <c r="V63" s="217">
        <f t="shared" si="38"/>
        <v>5.2411325832407618</v>
      </c>
      <c r="W63" s="217">
        <f t="shared" si="38"/>
        <v>3.7049735492714424</v>
      </c>
      <c r="X63" s="217">
        <f t="shared" si="38"/>
        <v>2.3685689939029575</v>
      </c>
      <c r="Y63" s="217">
        <f t="shared" si="38"/>
        <v>1.3013441627754943</v>
      </c>
      <c r="Z63" s="217">
        <f t="shared" si="38"/>
        <v>0.55381539999646989</v>
      </c>
      <c r="AA63" s="217">
        <f t="shared" si="38"/>
        <v>0.1397474183156347</v>
      </c>
      <c r="AB63" s="217">
        <f t="shared" si="38"/>
        <v>4.3128708893808334E-15</v>
      </c>
      <c r="AC63" s="217">
        <f t="shared" si="38"/>
        <v>0</v>
      </c>
      <c r="AD63" s="217">
        <f t="shared" si="38"/>
        <v>0</v>
      </c>
      <c r="AE63" s="217">
        <f t="shared" si="38"/>
        <v>0</v>
      </c>
      <c r="AF63" s="218">
        <f t="shared" si="28"/>
        <v>0</v>
      </c>
      <c r="AG63" s="180">
        <v>19</v>
      </c>
    </row>
    <row r="64" spans="1:33" x14ac:dyDescent="0.2">
      <c r="B64" s="181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217">
        <f t="shared" ref="N64:AE64" si="39">MAX((O64*Pu_1+O65*Pd_1)*EXP(-r_f1*delta_t1),$C$4-N28)</f>
        <v>21.601464399390384</v>
      </c>
      <c r="O64" s="217">
        <f t="shared" si="39"/>
        <v>20.230688943350227</v>
      </c>
      <c r="P64" s="217">
        <f t="shared" si="39"/>
        <v>18.793747211086952</v>
      </c>
      <c r="Q64" s="217">
        <f t="shared" si="39"/>
        <v>17.287445407373227</v>
      </c>
      <c r="R64" s="217">
        <f t="shared" si="39"/>
        <v>15.708435574944268</v>
      </c>
      <c r="S64" s="217">
        <f t="shared" si="39"/>
        <v>14.053208153214925</v>
      </c>
      <c r="T64" s="217">
        <f t="shared" si="39"/>
        <v>12.318084177811784</v>
      </c>
      <c r="U64" s="217">
        <f t="shared" si="39"/>
        <v>10.499207103582712</v>
      </c>
      <c r="V64" s="217">
        <f t="shared" si="39"/>
        <v>8.6318127762443293</v>
      </c>
      <c r="W64" s="217">
        <f t="shared" si="39"/>
        <v>6.8102013788180527</v>
      </c>
      <c r="X64" s="217">
        <f t="shared" si="39"/>
        <v>5.0676187130360777</v>
      </c>
      <c r="Y64" s="217">
        <f t="shared" si="39"/>
        <v>3.4550988488923893</v>
      </c>
      <c r="Z64" s="217">
        <f t="shared" si="39"/>
        <v>2.0613947590723729</v>
      </c>
      <c r="AA64" s="217">
        <f t="shared" si="39"/>
        <v>0.97435239858636924</v>
      </c>
      <c r="AB64" s="217">
        <f t="shared" si="39"/>
        <v>0.28154623893129949</v>
      </c>
      <c r="AC64" s="217">
        <f t="shared" si="39"/>
        <v>8.6890519519932376E-15</v>
      </c>
      <c r="AD64" s="217">
        <f t="shared" si="39"/>
        <v>0</v>
      </c>
      <c r="AE64" s="217">
        <f t="shared" si="39"/>
        <v>0</v>
      </c>
      <c r="AF64" s="218">
        <f t="shared" si="28"/>
        <v>0</v>
      </c>
      <c r="AG64" s="180">
        <v>18</v>
      </c>
    </row>
    <row r="65" spans="2:33" x14ac:dyDescent="0.2">
      <c r="B65" s="181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33"/>
      <c r="O65" s="217">
        <f t="shared" ref="O65:AE65" si="40">MAX((P65*Pu_1+P66*Pd_1)*EXP(-r_f1*delta_t1),$C$4-O29)</f>
        <v>22.909120311034421</v>
      </c>
      <c r="P65" s="217">
        <f t="shared" si="40"/>
        <v>21.60146439939038</v>
      </c>
      <c r="Q65" s="217">
        <f t="shared" si="40"/>
        <v>20.230688943350227</v>
      </c>
      <c r="R65" s="217">
        <f t="shared" si="40"/>
        <v>18.793747211086952</v>
      </c>
      <c r="S65" s="217">
        <f t="shared" si="40"/>
        <v>17.287445407373227</v>
      </c>
      <c r="T65" s="217">
        <f t="shared" si="40"/>
        <v>15.708435574944268</v>
      </c>
      <c r="U65" s="217">
        <f t="shared" si="40"/>
        <v>14.053208153214925</v>
      </c>
      <c r="V65" s="217">
        <f t="shared" si="40"/>
        <v>12.318084177811777</v>
      </c>
      <c r="W65" s="217">
        <f t="shared" si="40"/>
        <v>10.499207103582712</v>
      </c>
      <c r="X65" s="217">
        <f t="shared" si="40"/>
        <v>8.5925342329093439</v>
      </c>
      <c r="Y65" s="217">
        <f t="shared" si="40"/>
        <v>6.7134705611957397</v>
      </c>
      <c r="Z65" s="217">
        <f t="shared" si="40"/>
        <v>4.8750257396390841</v>
      </c>
      <c r="AA65" s="217">
        <f t="shared" si="40"/>
        <v>3.1671187099604565</v>
      </c>
      <c r="AB65" s="217">
        <f t="shared" si="40"/>
        <v>1.6781157736825862</v>
      </c>
      <c r="AC65" s="217">
        <f t="shared" si="40"/>
        <v>0.56722539573020492</v>
      </c>
      <c r="AD65" s="217">
        <f t="shared" si="40"/>
        <v>1.7505653603109923E-14</v>
      </c>
      <c r="AE65" s="217">
        <f t="shared" si="40"/>
        <v>0</v>
      </c>
      <c r="AF65" s="218">
        <f t="shared" si="28"/>
        <v>0</v>
      </c>
      <c r="AG65" s="180">
        <v>17</v>
      </c>
    </row>
    <row r="66" spans="2:33" x14ac:dyDescent="0.2">
      <c r="B66" s="181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217">
        <f t="shared" ref="P66:AE66" si="41">MAX((Q66*Pu_1+Q67*Pd_1)*EXP(-r_f1*delta_t1),$C$4-P30)</f>
        <v>24.156563118478086</v>
      </c>
      <c r="Q66" s="217">
        <f t="shared" si="41"/>
        <v>22.909120311034425</v>
      </c>
      <c r="R66" s="217">
        <f t="shared" si="41"/>
        <v>21.601464399390391</v>
      </c>
      <c r="S66" s="217">
        <f t="shared" si="41"/>
        <v>20.230688943350234</v>
      </c>
      <c r="T66" s="217">
        <f t="shared" si="41"/>
        <v>18.793747211086959</v>
      </c>
      <c r="U66" s="217">
        <f t="shared" si="41"/>
        <v>17.287445407373234</v>
      </c>
      <c r="V66" s="217">
        <f t="shared" si="41"/>
        <v>15.708435574944275</v>
      </c>
      <c r="W66" s="217">
        <f t="shared" si="41"/>
        <v>14.053208153214925</v>
      </c>
      <c r="X66" s="217">
        <f t="shared" si="41"/>
        <v>12.318084177811791</v>
      </c>
      <c r="Y66" s="217">
        <f t="shared" si="41"/>
        <v>10.499207103582719</v>
      </c>
      <c r="Z66" s="217">
        <f t="shared" si="41"/>
        <v>8.5925342329093581</v>
      </c>
      <c r="AA66" s="217">
        <f t="shared" si="41"/>
        <v>6.6168597187957054</v>
      </c>
      <c r="AB66" s="217">
        <f t="shared" si="41"/>
        <v>4.6826716392854717</v>
      </c>
      <c r="AC66" s="217">
        <f t="shared" si="41"/>
        <v>2.8068993975148513</v>
      </c>
      <c r="AD66" s="217">
        <f t="shared" si="41"/>
        <v>1.1427772957741302</v>
      </c>
      <c r="AE66" s="217">
        <f t="shared" si="41"/>
        <v>3.5268278952087212E-14</v>
      </c>
      <c r="AF66" s="218">
        <f t="shared" si="28"/>
        <v>0</v>
      </c>
      <c r="AG66" s="180">
        <v>16</v>
      </c>
    </row>
    <row r="67" spans="2:33" x14ac:dyDescent="0.2">
      <c r="B67" s="181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33"/>
      <c r="Q67" s="217">
        <f t="shared" ref="Q67:AE67" si="42">MAX((R67*Pu_1+R68*Pd_1)*EXP(-r_f1*delta_t1),$C$4-Q31)</f>
        <v>25.346565430237998</v>
      </c>
      <c r="R67" s="217">
        <f t="shared" si="42"/>
        <v>24.156563118478083</v>
      </c>
      <c r="S67" s="217">
        <f t="shared" si="42"/>
        <v>22.909120311034428</v>
      </c>
      <c r="T67" s="217">
        <f t="shared" si="42"/>
        <v>21.601464399390391</v>
      </c>
      <c r="U67" s="217">
        <f t="shared" si="42"/>
        <v>20.230688943350238</v>
      </c>
      <c r="V67" s="217">
        <f t="shared" si="42"/>
        <v>18.793747211086959</v>
      </c>
      <c r="W67" s="217">
        <f t="shared" si="42"/>
        <v>17.287445407373241</v>
      </c>
      <c r="X67" s="217">
        <f t="shared" si="42"/>
        <v>15.708435574944275</v>
      </c>
      <c r="Y67" s="217">
        <f t="shared" si="42"/>
        <v>14.053208153214932</v>
      </c>
      <c r="Z67" s="217">
        <f t="shared" si="42"/>
        <v>12.318084177811791</v>
      </c>
      <c r="AA67" s="217">
        <f t="shared" si="42"/>
        <v>10.499207103582727</v>
      </c>
      <c r="AB67" s="217">
        <f t="shared" si="42"/>
        <v>8.5925342329093581</v>
      </c>
      <c r="AC67" s="217">
        <f t="shared" si="42"/>
        <v>6.5938277302708102</v>
      </c>
      <c r="AD67" s="217">
        <f t="shared" si="42"/>
        <v>4.498645203087321</v>
      </c>
      <c r="AE67" s="217">
        <f t="shared" si="42"/>
        <v>2.3023298279084656</v>
      </c>
      <c r="AF67" s="218">
        <f t="shared" si="28"/>
        <v>7.1054273576010019E-14</v>
      </c>
      <c r="AG67" s="180">
        <v>15</v>
      </c>
    </row>
    <row r="68" spans="2:33" x14ac:dyDescent="0.2">
      <c r="B68" s="181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217">
        <f t="shared" ref="R68:AE68" si="43">MAX((S68*Pu_1+S69*Pd_1)*EXP(-r_f1*delta_t1),$C$4-R32)</f>
        <v>26.481772185645021</v>
      </c>
      <c r="S68" s="217">
        <f t="shared" si="43"/>
        <v>25.346565430237998</v>
      </c>
      <c r="T68" s="217">
        <f t="shared" si="43"/>
        <v>24.15656311847809</v>
      </c>
      <c r="U68" s="217">
        <f t="shared" si="43"/>
        <v>22.909120311034428</v>
      </c>
      <c r="V68" s="217">
        <f t="shared" si="43"/>
        <v>21.601464399390395</v>
      </c>
      <c r="W68" s="217">
        <f t="shared" si="43"/>
        <v>20.230688943350241</v>
      </c>
      <c r="X68" s="217">
        <f t="shared" si="43"/>
        <v>18.793747211086963</v>
      </c>
      <c r="Y68" s="217">
        <f t="shared" si="43"/>
        <v>17.287445407373234</v>
      </c>
      <c r="Z68" s="217">
        <f t="shared" si="43"/>
        <v>15.708435574944282</v>
      </c>
      <c r="AA68" s="217">
        <f t="shared" si="43"/>
        <v>14.053208153214932</v>
      </c>
      <c r="AB68" s="217">
        <f t="shared" si="43"/>
        <v>12.318084177811798</v>
      </c>
      <c r="AC68" s="217">
        <f t="shared" si="43"/>
        <v>10.499207103582727</v>
      </c>
      <c r="AD68" s="217">
        <f t="shared" si="43"/>
        <v>8.5925342329093652</v>
      </c>
      <c r="AE68" s="217">
        <f t="shared" si="43"/>
        <v>6.5938277302708173</v>
      </c>
      <c r="AF68" s="218">
        <f t="shared" si="28"/>
        <v>4.498645203087321</v>
      </c>
      <c r="AG68" s="180">
        <v>14</v>
      </c>
    </row>
    <row r="69" spans="2:33" x14ac:dyDescent="0.2">
      <c r="B69" s="181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217">
        <f t="shared" ref="S69:AE69" si="44">MAX((T69*Pu_1+T70*Pd_1)*EXP(-r_f1*delta_t1),$C$4-S33)</f>
        <v>27.564706533575706</v>
      </c>
      <c r="T69" s="217">
        <f t="shared" si="44"/>
        <v>26.481772185645021</v>
      </c>
      <c r="U69" s="217">
        <f t="shared" si="44"/>
        <v>25.346565430238005</v>
      </c>
      <c r="V69" s="217">
        <f t="shared" si="44"/>
        <v>24.156563118478093</v>
      </c>
      <c r="W69" s="217">
        <f t="shared" si="44"/>
        <v>22.909120311034432</v>
      </c>
      <c r="X69" s="217">
        <f t="shared" si="44"/>
        <v>21.601464399390398</v>
      </c>
      <c r="Y69" s="217">
        <f t="shared" si="44"/>
        <v>20.230688943350245</v>
      </c>
      <c r="Z69" s="217">
        <f t="shared" si="44"/>
        <v>18.793747211086963</v>
      </c>
      <c r="AA69" s="217">
        <f t="shared" si="44"/>
        <v>17.287445407373241</v>
      </c>
      <c r="AB69" s="217">
        <f t="shared" si="44"/>
        <v>15.708435574944282</v>
      </c>
      <c r="AC69" s="217">
        <f t="shared" si="44"/>
        <v>14.053208153214939</v>
      </c>
      <c r="AD69" s="217">
        <f t="shared" si="44"/>
        <v>12.318084177811798</v>
      </c>
      <c r="AE69" s="217">
        <f t="shared" si="44"/>
        <v>10.499207103582734</v>
      </c>
      <c r="AF69" s="218">
        <f t="shared" si="28"/>
        <v>8.5925342329093723</v>
      </c>
      <c r="AG69" s="180">
        <v>13</v>
      </c>
    </row>
    <row r="70" spans="2:33" x14ac:dyDescent="0.2">
      <c r="B70" s="181"/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2"/>
      <c r="N70" s="182"/>
      <c r="O70" s="182"/>
      <c r="P70" s="182"/>
      <c r="Q70" s="182"/>
      <c r="R70" s="182"/>
      <c r="S70" s="182"/>
      <c r="T70" s="217">
        <f t="shared" ref="T70:AE70" si="45">MAX((U70*Pu_1+U71*Pd_1)*EXP(-r_f1*delta_t1),$C$4-T34)</f>
        <v>28.597775440488242</v>
      </c>
      <c r="U70" s="217">
        <f t="shared" si="45"/>
        <v>27.564706533575702</v>
      </c>
      <c r="V70" s="217">
        <f t="shared" si="45"/>
        <v>26.481772185645024</v>
      </c>
      <c r="W70" s="217">
        <f t="shared" si="45"/>
        <v>25.346565430238005</v>
      </c>
      <c r="X70" s="217">
        <f t="shared" si="45"/>
        <v>24.156563118478093</v>
      </c>
      <c r="Y70" s="217">
        <f t="shared" si="45"/>
        <v>22.909120311034435</v>
      </c>
      <c r="Z70" s="217">
        <f t="shared" si="45"/>
        <v>21.601464399390398</v>
      </c>
      <c r="AA70" s="217">
        <f t="shared" si="45"/>
        <v>20.230688943350238</v>
      </c>
      <c r="AB70" s="217">
        <f t="shared" si="45"/>
        <v>18.793747211086966</v>
      </c>
      <c r="AC70" s="217">
        <f t="shared" si="45"/>
        <v>17.287445407373241</v>
      </c>
      <c r="AD70" s="217">
        <f t="shared" si="45"/>
        <v>15.708435574944289</v>
      </c>
      <c r="AE70" s="217">
        <f t="shared" si="45"/>
        <v>14.053208153214939</v>
      </c>
      <c r="AF70" s="218">
        <f t="shared" si="28"/>
        <v>12.318084177811798</v>
      </c>
      <c r="AG70" s="180">
        <v>12</v>
      </c>
    </row>
    <row r="71" spans="2:33" x14ac:dyDescent="0.2">
      <c r="B71" s="181"/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2"/>
      <c r="O71" s="182"/>
      <c r="P71" s="182"/>
      <c r="Q71" s="182"/>
      <c r="R71" s="182"/>
      <c r="S71" s="182"/>
      <c r="T71" s="182"/>
      <c r="U71" s="217">
        <f t="shared" ref="U71:AE71" si="46">MAX((V71*Pu_1+V72*Pd_1)*EXP(-r_f1*delta_t1),$C$4-U35)</f>
        <v>29.583275040227395</v>
      </c>
      <c r="V71" s="217">
        <f t="shared" si="46"/>
        <v>28.597775440488245</v>
      </c>
      <c r="W71" s="217">
        <f t="shared" si="46"/>
        <v>27.564706533575709</v>
      </c>
      <c r="X71" s="217">
        <f t="shared" si="46"/>
        <v>26.481772185645028</v>
      </c>
      <c r="Y71" s="217">
        <f t="shared" si="46"/>
        <v>25.346565430238009</v>
      </c>
      <c r="Z71" s="217">
        <f t="shared" si="46"/>
        <v>24.156563118478097</v>
      </c>
      <c r="AA71" s="217">
        <f t="shared" si="46"/>
        <v>22.909120311034439</v>
      </c>
      <c r="AB71" s="217">
        <f t="shared" si="46"/>
        <v>21.601464399390398</v>
      </c>
      <c r="AC71" s="217">
        <f t="shared" si="46"/>
        <v>20.230688943350248</v>
      </c>
      <c r="AD71" s="217">
        <f t="shared" si="46"/>
        <v>18.79374721108697</v>
      </c>
      <c r="AE71" s="217">
        <f t="shared" si="46"/>
        <v>17.287445407373248</v>
      </c>
      <c r="AF71" s="218">
        <f t="shared" si="28"/>
        <v>15.708435574944289</v>
      </c>
      <c r="AG71" s="180">
        <v>11</v>
      </c>
    </row>
    <row r="72" spans="2:33" x14ac:dyDescent="0.2">
      <c r="B72" s="181"/>
      <c r="C72" s="182"/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217">
        <f t="shared" ref="V72:AE72" si="47">MAX((W72*Pu_1+W73*Pd_1)*EXP(-r_f1*delta_t1),$C$4-V36)</f>
        <v>30.523395737489121</v>
      </c>
      <c r="W72" s="217">
        <f t="shared" si="47"/>
        <v>29.583275040227395</v>
      </c>
      <c r="X72" s="217">
        <f t="shared" si="47"/>
        <v>28.597775440488249</v>
      </c>
      <c r="Y72" s="217">
        <f t="shared" si="47"/>
        <v>27.564706533575713</v>
      </c>
      <c r="Z72" s="217">
        <f t="shared" si="47"/>
        <v>26.481772185645028</v>
      </c>
      <c r="AA72" s="217">
        <f t="shared" si="47"/>
        <v>25.346565430238012</v>
      </c>
      <c r="AB72" s="217">
        <f t="shared" si="47"/>
        <v>24.1565631184781</v>
      </c>
      <c r="AC72" s="217">
        <f t="shared" si="47"/>
        <v>22.909120311034435</v>
      </c>
      <c r="AD72" s="217">
        <f t="shared" si="47"/>
        <v>21.601464399390405</v>
      </c>
      <c r="AE72" s="217">
        <f t="shared" si="47"/>
        <v>20.230688943350252</v>
      </c>
      <c r="AF72" s="218">
        <f t="shared" si="28"/>
        <v>18.793747211086977</v>
      </c>
      <c r="AG72" s="180">
        <v>10</v>
      </c>
    </row>
    <row r="73" spans="2:33" x14ac:dyDescent="0.2">
      <c r="B73" s="181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217">
        <f t="shared" ref="W73:AE73" si="48">MAX((X73*Pu_1+X74*Pd_1)*EXP(-r_f1*delta_t1),$C$4-W37)</f>
        <v>31.42022707628805</v>
      </c>
      <c r="X73" s="217">
        <f t="shared" si="48"/>
        <v>30.523395737489121</v>
      </c>
      <c r="Y73" s="217">
        <f t="shared" si="48"/>
        <v>29.583275040227399</v>
      </c>
      <c r="Z73" s="217">
        <f t="shared" si="48"/>
        <v>28.597775440488252</v>
      </c>
      <c r="AA73" s="217">
        <f t="shared" si="48"/>
        <v>27.564706533575716</v>
      </c>
      <c r="AB73" s="217">
        <f t="shared" si="48"/>
        <v>26.481772185645031</v>
      </c>
      <c r="AC73" s="217">
        <f t="shared" si="48"/>
        <v>25.346565430238016</v>
      </c>
      <c r="AD73" s="217">
        <f t="shared" si="48"/>
        <v>24.156563118478097</v>
      </c>
      <c r="AE73" s="217">
        <f t="shared" si="48"/>
        <v>22.909120311034442</v>
      </c>
      <c r="AF73" s="218">
        <f t="shared" si="28"/>
        <v>21.601464399390409</v>
      </c>
      <c r="AG73" s="180">
        <v>9</v>
      </c>
    </row>
    <row r="74" spans="2:33" x14ac:dyDescent="0.2">
      <c r="B74" s="181"/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217">
        <f t="shared" ref="X74:AE74" si="49">MAX((Y74*Pu_1+Y75*Pd_1)*EXP(-r_f1*delta_t1),$C$4-X38)</f>
        <v>32.275762384248587</v>
      </c>
      <c r="Y74" s="217">
        <f t="shared" si="49"/>
        <v>31.420227076288054</v>
      </c>
      <c r="Z74" s="217">
        <f t="shared" si="49"/>
        <v>30.523395737489125</v>
      </c>
      <c r="AA74" s="217">
        <f t="shared" si="49"/>
        <v>29.583275040227402</v>
      </c>
      <c r="AB74" s="217">
        <f t="shared" si="49"/>
        <v>28.597775440488256</v>
      </c>
      <c r="AC74" s="217">
        <f t="shared" si="49"/>
        <v>27.56470653357572</v>
      </c>
      <c r="AD74" s="217">
        <f t="shared" si="49"/>
        <v>26.481772185645035</v>
      </c>
      <c r="AE74" s="217">
        <f t="shared" si="49"/>
        <v>25.346565430238016</v>
      </c>
      <c r="AF74" s="218">
        <f t="shared" si="28"/>
        <v>24.156563118478108</v>
      </c>
      <c r="AG74" s="180">
        <v>8</v>
      </c>
    </row>
    <row r="75" spans="2:33" x14ac:dyDescent="0.2">
      <c r="B75" s="181"/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82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217">
        <f t="shared" ref="Y75:AE75" si="50">MAX((Z75*Pu_1+Z76*Pd_1)*EXP(-r_f1*delta_t1),$C$4-Y39)</f>
        <v>33.091903203042193</v>
      </c>
      <c r="Z75" s="217">
        <f t="shared" si="50"/>
        <v>32.275762384248587</v>
      </c>
      <c r="AA75" s="217">
        <f t="shared" si="50"/>
        <v>31.420227076288054</v>
      </c>
      <c r="AB75" s="217">
        <f t="shared" si="50"/>
        <v>30.523395737489125</v>
      </c>
      <c r="AC75" s="217">
        <f t="shared" si="50"/>
        <v>29.583275040227402</v>
      </c>
      <c r="AD75" s="217">
        <f t="shared" si="50"/>
        <v>28.597775440488256</v>
      </c>
      <c r="AE75" s="217">
        <f t="shared" si="50"/>
        <v>27.56470653357572</v>
      </c>
      <c r="AF75" s="218">
        <f t="shared" si="28"/>
        <v>26.481772185645031</v>
      </c>
      <c r="AG75" s="180">
        <v>7</v>
      </c>
    </row>
    <row r="76" spans="2:33" x14ac:dyDescent="0.2">
      <c r="B76" s="181"/>
      <c r="C76" s="182"/>
      <c r="D76" s="182"/>
      <c r="E76" s="182"/>
      <c r="F76" s="182"/>
      <c r="G76" s="182"/>
      <c r="H76" s="182"/>
      <c r="I76" s="182"/>
      <c r="J76" s="182"/>
      <c r="K76" s="182"/>
      <c r="L76" s="182"/>
      <c r="M76" s="18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217">
        <f t="shared" ref="Z76:AE76" si="51">MAX((AA76*Pu_1+AA77*Pd_1)*EXP(-r_f1*delta_t1),$C$4-Z40)</f>
        <v>33.870463514818162</v>
      </c>
      <c r="AA76" s="217">
        <f t="shared" si="51"/>
        <v>33.091903203042193</v>
      </c>
      <c r="AB76" s="217">
        <f t="shared" si="51"/>
        <v>32.275762384248594</v>
      </c>
      <c r="AC76" s="217">
        <f t="shared" si="51"/>
        <v>31.420227076288061</v>
      </c>
      <c r="AD76" s="217">
        <f t="shared" si="51"/>
        <v>30.523395737489132</v>
      </c>
      <c r="AE76" s="217">
        <f t="shared" si="51"/>
        <v>29.583275040227409</v>
      </c>
      <c r="AF76" s="218">
        <f t="shared" si="28"/>
        <v>28.59777544048826</v>
      </c>
      <c r="AG76" s="180">
        <v>6</v>
      </c>
    </row>
    <row r="77" spans="2:33" x14ac:dyDescent="0.2">
      <c r="B77" s="181"/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217">
        <f>MAX((AB77*Pu_1+AB78*Pd_1)*EXP(-r_f1*delta_t1),$C$4-AA41)</f>
        <v>34.613173774021583</v>
      </c>
      <c r="AB77" s="217">
        <f>MAX((AC77*Pu_1+AC78*Pd_1)*EXP(-r_f1*delta_t1),$C$4-AB41)</f>
        <v>33.870463514818162</v>
      </c>
      <c r="AC77" s="217">
        <f>MAX((AD77*Pu_1+AD78*Pd_1)*EXP(-r_f1*delta_t1),$C$4-AC41)</f>
        <v>33.0919032030422</v>
      </c>
      <c r="AD77" s="217">
        <f>MAX((AE77*Pu_1+AE78*Pd_1)*EXP(-r_f1*delta_t1),$C$4-AD41)</f>
        <v>32.275762384248594</v>
      </c>
      <c r="AE77" s="217">
        <f>MAX((AF77*Pu_1+AF78*Pd_1)*EXP(-r_f1*delta_t1),$C$4-AE41)</f>
        <v>31.420227076288061</v>
      </c>
      <c r="AF77" s="218">
        <f t="shared" si="28"/>
        <v>30.523395737489132</v>
      </c>
      <c r="AG77" s="180">
        <v>5</v>
      </c>
    </row>
    <row r="78" spans="2:33" x14ac:dyDescent="0.2">
      <c r="B78" s="181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217">
        <f>MAX((AC78*Pu_1+AC79*Pd_1)*EXP(-r_f1*delta_t1),$C$4-AB42)</f>
        <v>35.321684753559843</v>
      </c>
      <c r="AC78" s="217">
        <f>MAX((AD78*Pu_1+AD79*Pd_1)*EXP(-r_f1*delta_t1),$C$4-AC42)</f>
        <v>34.613173774021583</v>
      </c>
      <c r="AD78" s="217">
        <f>MAX((AE78*Pu_1+AE79*Pd_1)*EXP(-r_f1*delta_t1),$C$4-AD42)</f>
        <v>33.870463514818169</v>
      </c>
      <c r="AE78" s="217">
        <f>MAX((AF78*Pu_1+AF79*Pd_1)*EXP(-r_f1*delta_t1),$C$4-AE42)</f>
        <v>33.0919032030422</v>
      </c>
      <c r="AF78" s="218">
        <f t="shared" si="28"/>
        <v>32.275762384248594</v>
      </c>
      <c r="AG78" s="180">
        <v>4</v>
      </c>
    </row>
    <row r="79" spans="2:33" x14ac:dyDescent="0.2">
      <c r="B79" s="181"/>
      <c r="C79" s="182"/>
      <c r="D79" s="182"/>
      <c r="E79" s="182"/>
      <c r="F79" s="182"/>
      <c r="G79" s="182"/>
      <c r="H79" s="182"/>
      <c r="I79" s="182"/>
      <c r="J79" s="182"/>
      <c r="K79" s="182"/>
      <c r="L79" s="182"/>
      <c r="M79" s="182"/>
      <c r="N79" s="182"/>
      <c r="O79" s="182"/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/>
      <c r="AB79" s="182"/>
      <c r="AC79" s="217">
        <f>MAX((AD79*Pu_1+AD80*Pd_1)*EXP(-r_f1*delta_t1),$C$4-AC43)</f>
        <v>35.99757121386628</v>
      </c>
      <c r="AD79" s="217">
        <f>MAX((AE79*Pu_1+AE80*Pd_1)*EXP(-r_f1*delta_t1),$C$4-AD43)</f>
        <v>35.321684753559843</v>
      </c>
      <c r="AE79" s="217">
        <f>MAX((AF79*Pu_1+AF80*Pd_1)*EXP(-r_f1*delta_t1),$C$4-AE43)</f>
        <v>34.613173774021583</v>
      </c>
      <c r="AF79" s="218">
        <f t="shared" si="28"/>
        <v>33.870463514818169</v>
      </c>
      <c r="AG79" s="180">
        <v>3</v>
      </c>
    </row>
    <row r="80" spans="2:33" x14ac:dyDescent="0.2">
      <c r="B80" s="181"/>
      <c r="C80" s="182"/>
      <c r="D80" s="182"/>
      <c r="E80" s="182"/>
      <c r="F80" s="182"/>
      <c r="G80" s="182"/>
      <c r="H80" s="182"/>
      <c r="I80" s="182"/>
      <c r="J80" s="182"/>
      <c r="K80" s="182"/>
      <c r="L80" s="182"/>
      <c r="M80" s="182"/>
      <c r="N80" s="182"/>
      <c r="O80" s="182"/>
      <c r="P80" s="182"/>
      <c r="Q80" s="182"/>
      <c r="R80" s="182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217">
        <f>MAX((AE80*Pu_1+AE81*Pd_1)*EXP(-r_f1*delta_t1),$C$4-AD44)</f>
        <v>36.642335403015856</v>
      </c>
      <c r="AE80" s="217">
        <f>MAX((AF80*Pu_1+AF81*Pd_1)*EXP(-r_f1*delta_t1),$C$4-AE44)</f>
        <v>35.99757121386628</v>
      </c>
      <c r="AF80" s="218">
        <f t="shared" si="28"/>
        <v>35.32168475355985</v>
      </c>
      <c r="AG80" s="180">
        <v>2</v>
      </c>
    </row>
    <row r="81" spans="2:33" x14ac:dyDescent="0.2">
      <c r="B81" s="181"/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2"/>
      <c r="O81" s="182"/>
      <c r="P81" s="182"/>
      <c r="Q81" s="182"/>
      <c r="R81" s="182"/>
      <c r="S81" s="182"/>
      <c r="T81" s="182"/>
      <c r="U81" s="182"/>
      <c r="V81" s="182"/>
      <c r="W81" s="182"/>
      <c r="X81" s="182"/>
      <c r="Y81" s="182"/>
      <c r="Z81" s="182"/>
      <c r="AA81" s="182"/>
      <c r="AB81" s="182"/>
      <c r="AC81" s="182"/>
      <c r="AD81" s="182"/>
      <c r="AE81" s="217">
        <f>MAX((AF81*Pu_1+AF82*Pd_1)*EXP(-r_f1*delta_t1),$C$4-AE45)</f>
        <v>37.257410395672508</v>
      </c>
      <c r="AF81" s="218">
        <f t="shared" si="28"/>
        <v>36.642335403015849</v>
      </c>
      <c r="AG81" s="180">
        <v>1</v>
      </c>
    </row>
    <row r="82" spans="2:33" x14ac:dyDescent="0.2">
      <c r="B82" s="183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5"/>
      <c r="AF82" s="219">
        <f t="shared" si="28"/>
        <v>37.84416327828928</v>
      </c>
      <c r="AG82" s="187">
        <v>0</v>
      </c>
    </row>
    <row r="84" spans="2:33" x14ac:dyDescent="0.2">
      <c r="AE84" s="2"/>
      <c r="AF84" s="2"/>
    </row>
    <row r="85" spans="2:33" x14ac:dyDescent="0.2">
      <c r="AE85" s="220"/>
      <c r="AF85" s="220"/>
    </row>
    <row r="86" spans="2:33" x14ac:dyDescent="0.2">
      <c r="AE86" s="220"/>
      <c r="AF86" s="220"/>
    </row>
    <row r="87" spans="2:33" x14ac:dyDescent="0.2">
      <c r="AE87" s="2"/>
      <c r="AF87" s="2"/>
    </row>
  </sheetData>
  <mergeCells count="1">
    <mergeCell ref="B1:F1"/>
  </mergeCells>
  <phoneticPr fontId="2" type="noConversion"/>
  <pageMargins left="0.24" right="0.2" top="0.63" bottom="1" header="0.5" footer="0.5"/>
  <pageSetup scale="45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W53"/>
  <sheetViews>
    <sheetView topLeftCell="A9" workbookViewId="0">
      <selection activeCell="B8" sqref="B8"/>
    </sheetView>
  </sheetViews>
  <sheetFormatPr baseColWidth="10" defaultColWidth="8.83203125" defaultRowHeight="16" x14ac:dyDescent="0.2"/>
  <cols>
    <col min="1" max="1" width="20" style="1" bestFit="1" customWidth="1"/>
    <col min="2" max="2" width="10.1640625" style="1" customWidth="1"/>
    <col min="3" max="3" width="13" style="1" customWidth="1"/>
    <col min="4" max="4" width="9.6640625" style="1" customWidth="1"/>
    <col min="5" max="6" width="8.83203125" style="1"/>
    <col min="7" max="7" width="9.83203125" style="1" bestFit="1" customWidth="1"/>
    <col min="8" max="16" width="9" style="1" bestFit="1" customWidth="1"/>
    <col min="17" max="17" width="12.83203125" style="1" bestFit="1" customWidth="1"/>
    <col min="18" max="18" width="9" style="1" bestFit="1" customWidth="1"/>
    <col min="19" max="19" width="9.83203125" style="1" bestFit="1" customWidth="1"/>
    <col min="20" max="23" width="9" style="1" bestFit="1" customWidth="1"/>
    <col min="24" max="16384" width="8.83203125" style="1"/>
  </cols>
  <sheetData>
    <row r="1" spans="1:23" ht="17" thickBot="1" x14ac:dyDescent="0.25">
      <c r="A1" s="237" t="s">
        <v>19</v>
      </c>
      <c r="B1" s="238"/>
      <c r="C1" s="238"/>
      <c r="D1" s="239"/>
      <c r="E1" s="84"/>
      <c r="F1" s="234" t="s">
        <v>95</v>
      </c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6"/>
    </row>
    <row r="2" spans="1:23" x14ac:dyDescent="0.2">
      <c r="A2" s="85"/>
      <c r="C2" s="86"/>
      <c r="F2" s="87"/>
      <c r="G2" s="20"/>
      <c r="H2" s="88" t="s">
        <v>26</v>
      </c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90"/>
    </row>
    <row r="3" spans="1:23" x14ac:dyDescent="0.2">
      <c r="A3" s="240" t="s">
        <v>20</v>
      </c>
      <c r="B3" s="241"/>
      <c r="C3" s="241"/>
      <c r="D3" s="242"/>
      <c r="E3" s="91"/>
      <c r="F3" s="87"/>
      <c r="G3" s="92">
        <f>B17</f>
        <v>6.116508129330871</v>
      </c>
      <c r="H3" s="93">
        <v>0.05</v>
      </c>
      <c r="I3" s="93">
        <v>0.1</v>
      </c>
      <c r="J3" s="93">
        <v>0.15</v>
      </c>
      <c r="K3" s="93">
        <v>0.2</v>
      </c>
      <c r="L3" s="93">
        <v>0.25</v>
      </c>
      <c r="M3" s="93">
        <v>0.3</v>
      </c>
      <c r="N3" s="93">
        <v>0.35</v>
      </c>
      <c r="O3" s="93">
        <v>0.4</v>
      </c>
      <c r="P3" s="93">
        <v>0.45</v>
      </c>
      <c r="Q3" s="93">
        <v>0.5</v>
      </c>
      <c r="R3" s="93">
        <v>0.55000000000000004</v>
      </c>
      <c r="S3" s="93">
        <v>0.6</v>
      </c>
      <c r="T3" s="93">
        <v>0.65</v>
      </c>
      <c r="U3" s="93">
        <v>0.7</v>
      </c>
      <c r="V3" s="93">
        <v>0.75</v>
      </c>
      <c r="W3" s="94">
        <v>0.8</v>
      </c>
    </row>
    <row r="4" spans="1:23" ht="17" thickBot="1" x14ac:dyDescent="0.25">
      <c r="A4" s="2"/>
      <c r="B4" s="2"/>
      <c r="C4" s="2"/>
      <c r="D4" s="2"/>
      <c r="F4" s="231" t="s">
        <v>27</v>
      </c>
      <c r="G4" s="95">
        <v>0.1</v>
      </c>
      <c r="H4" s="96">
        <f t="dataTable" ref="H4:W24" dt2D="1" dtr="1" r1="B8" r2="B7" ca="1"/>
        <v>0.58067361798368111</v>
      </c>
      <c r="I4" s="96">
        <v>0.9074920432651794</v>
      </c>
      <c r="J4" s="96">
        <v>1.1957407222839187</v>
      </c>
      <c r="K4" s="96">
        <v>1.4650441717194482</v>
      </c>
      <c r="L4" s="96">
        <v>1.7227753018711809</v>
      </c>
      <c r="M4" s="96">
        <v>1.9725988780600545</v>
      </c>
      <c r="N4" s="96">
        <v>2.2166218779278779</v>
      </c>
      <c r="O4" s="96">
        <v>2.4561708274767753</v>
      </c>
      <c r="P4" s="96">
        <v>2.6921346016354093</v>
      </c>
      <c r="Q4" s="96">
        <v>2.9251364905808543</v>
      </c>
      <c r="R4" s="96">
        <v>3.1556288938787347</v>
      </c>
      <c r="S4" s="96">
        <v>3.3839491656599421</v>
      </c>
      <c r="T4" s="96">
        <v>3.610354376468301</v>
      </c>
      <c r="U4" s="96">
        <v>3.8350439110876806</v>
      </c>
      <c r="V4" s="96">
        <v>4.0581746919933934</v>
      </c>
      <c r="W4" s="97">
        <v>4.2798717452136756</v>
      </c>
    </row>
    <row r="5" spans="1:23" ht="18" x14ac:dyDescent="0.25">
      <c r="A5" s="143" t="s">
        <v>101</v>
      </c>
      <c r="B5" s="98">
        <v>50</v>
      </c>
      <c r="C5" s="99"/>
      <c r="D5" s="99"/>
      <c r="F5" s="232"/>
      <c r="G5" s="95">
        <v>0.12</v>
      </c>
      <c r="H5" s="96">
        <v>0.66781604183795551</v>
      </c>
      <c r="I5" s="96">
        <v>1.0278795110161134</v>
      </c>
      <c r="J5" s="96">
        <v>1.3397749249200963</v>
      </c>
      <c r="K5" s="96">
        <v>1.6275151522188267</v>
      </c>
      <c r="L5" s="96">
        <v>1.900224354093293</v>
      </c>
      <c r="M5" s="96">
        <v>2.1624920102901086</v>
      </c>
      <c r="N5" s="96">
        <v>2.4169904844567327</v>
      </c>
      <c r="O5" s="96">
        <v>2.6654253000510835</v>
      </c>
      <c r="P5" s="96">
        <v>2.9089560197165554</v>
      </c>
      <c r="Q5" s="96">
        <v>3.1484084413243778</v>
      </c>
      <c r="R5" s="96">
        <v>3.3843919135483276</v>
      </c>
      <c r="S5" s="96">
        <v>3.6173688520934419</v>
      </c>
      <c r="T5" s="96">
        <v>3.8476982264487347</v>
      </c>
      <c r="U5" s="96">
        <v>4.0756639762109685</v>
      </c>
      <c r="V5" s="96">
        <v>4.3014942580512638</v>
      </c>
      <c r="W5" s="97">
        <v>4.5253748798646427</v>
      </c>
    </row>
    <row r="6" spans="1:23" x14ac:dyDescent="0.2">
      <c r="A6" s="141" t="s">
        <v>70</v>
      </c>
      <c r="B6" s="100">
        <v>50</v>
      </c>
      <c r="C6" s="99"/>
      <c r="D6" s="99"/>
      <c r="F6" s="232"/>
      <c r="G6" s="95">
        <v>0.14000000000000001</v>
      </c>
      <c r="H6" s="96">
        <v>0.75547595370622389</v>
      </c>
      <c r="I6" s="96">
        <v>1.1497006740964082</v>
      </c>
      <c r="J6" s="96">
        <v>1.4863890582113903</v>
      </c>
      <c r="K6" s="96">
        <v>1.7938768807084173</v>
      </c>
      <c r="L6" s="96">
        <v>2.0829996100315142</v>
      </c>
      <c r="M6" s="96">
        <v>2.3592433714868584</v>
      </c>
      <c r="N6" s="96">
        <v>2.6258246801130802</v>
      </c>
      <c r="O6" s="96">
        <v>2.8848112507334598</v>
      </c>
      <c r="P6" s="96">
        <v>3.1376196264984806</v>
      </c>
      <c r="Q6" s="96">
        <v>3.3852666943680561</v>
      </c>
      <c r="R6" s="96">
        <v>3.6285090923482173</v>
      </c>
      <c r="S6" s="96">
        <v>3.8679260314288513</v>
      </c>
      <c r="T6" s="96">
        <v>4.103971244516714</v>
      </c>
      <c r="U6" s="96">
        <v>4.3370070258326976</v>
      </c>
      <c r="V6" s="96">
        <v>4.5673273519325832</v>
      </c>
      <c r="W6" s="97">
        <v>4.7951740671429732</v>
      </c>
    </row>
    <row r="7" spans="1:23" x14ac:dyDescent="0.2">
      <c r="A7" s="141" t="s">
        <v>100</v>
      </c>
      <c r="B7" s="101">
        <v>0.4</v>
      </c>
      <c r="C7" s="99" t="s">
        <v>21</v>
      </c>
      <c r="D7" s="99"/>
      <c r="F7" s="232"/>
      <c r="G7" s="95">
        <v>0.16</v>
      </c>
      <c r="H7" s="96">
        <v>0.84345946478739009</v>
      </c>
      <c r="I7" s="96">
        <v>1.2724227863975948</v>
      </c>
      <c r="J7" s="96">
        <v>1.6346324353645301</v>
      </c>
      <c r="K7" s="96">
        <v>1.9627077401047544</v>
      </c>
      <c r="L7" s="96">
        <v>2.2691715885518384</v>
      </c>
      <c r="M7" s="96">
        <v>2.5603899860631287</v>
      </c>
      <c r="N7" s="96">
        <v>2.8401108914358275</v>
      </c>
      <c r="O7" s="96">
        <v>3.1107541085757049</v>
      </c>
      <c r="P7" s="96">
        <v>3.3739848670200203</v>
      </c>
      <c r="Q7" s="96">
        <v>3.6310041745218804</v>
      </c>
      <c r="R7" s="96">
        <v>3.8827100028705352</v>
      </c>
      <c r="S7" s="96">
        <v>4.129793201203249</v>
      </c>
      <c r="T7" s="96">
        <v>4.372797754103491</v>
      </c>
      <c r="U7" s="96">
        <v>4.6121603310706512</v>
      </c>
      <c r="V7" s="96">
        <v>4.8482371957767008</v>
      </c>
      <c r="W7" s="97">
        <v>5.0813230760659991</v>
      </c>
    </row>
    <row r="8" spans="1:23" x14ac:dyDescent="0.2">
      <c r="A8" s="141" t="s">
        <v>71</v>
      </c>
      <c r="B8" s="102">
        <f>5/12</f>
        <v>0.41666666666666669</v>
      </c>
      <c r="C8" s="99" t="s">
        <v>24</v>
      </c>
      <c r="D8" s="99"/>
      <c r="F8" s="232"/>
      <c r="G8" s="95">
        <v>0.18</v>
      </c>
      <c r="H8" s="96">
        <v>0.93165791462976344</v>
      </c>
      <c r="I8" s="96">
        <v>1.3957451896222466</v>
      </c>
      <c r="J8" s="96">
        <v>1.7839647455019936</v>
      </c>
      <c r="K8" s="96">
        <v>2.1331940347232994</v>
      </c>
      <c r="L8" s="96">
        <v>2.4576280114587803</v>
      </c>
      <c r="M8" s="96">
        <v>2.7645018162892256</v>
      </c>
      <c r="N8" s="96">
        <v>3.0580867150981774</v>
      </c>
      <c r="O8" s="96">
        <v>3.341148128143562</v>
      </c>
      <c r="P8" s="96">
        <v>3.6155946465287059</v>
      </c>
      <c r="Q8" s="96">
        <v>3.88280691100681</v>
      </c>
      <c r="R8" s="96">
        <v>4.1438203754828642</v>
      </c>
      <c r="S8" s="96">
        <v>4.3994341747759265</v>
      </c>
      <c r="T8" s="96">
        <v>4.6502795945757285</v>
      </c>
      <c r="U8" s="96">
        <v>4.8968650594521144</v>
      </c>
      <c r="V8" s="96">
        <v>5.1396067762717301</v>
      </c>
      <c r="W8" s="97">
        <v>5.3788502469107655</v>
      </c>
    </row>
    <row r="9" spans="1:23" x14ac:dyDescent="0.2">
      <c r="A9" s="141" t="s">
        <v>72</v>
      </c>
      <c r="B9" s="101">
        <v>0.1</v>
      </c>
      <c r="C9" s="99" t="s">
        <v>21</v>
      </c>
      <c r="D9" s="99"/>
      <c r="F9" s="232"/>
      <c r="G9" s="95">
        <v>0.2</v>
      </c>
      <c r="H9" s="96">
        <v>1.0200056366488077</v>
      </c>
      <c r="I9" s="96">
        <v>1.5194853613814132</v>
      </c>
      <c r="J9" s="96">
        <v>1.9340564802996205</v>
      </c>
      <c r="K9" s="96">
        <v>2.3048372540422584</v>
      </c>
      <c r="L9" s="96">
        <v>2.6476842967171805</v>
      </c>
      <c r="M9" s="96">
        <v>2.9706946231593854</v>
      </c>
      <c r="N9" s="96">
        <v>3.2786573174428781</v>
      </c>
      <c r="O9" s="96">
        <v>3.5746790528473014</v>
      </c>
      <c r="P9" s="96">
        <v>3.8609081919042829</v>
      </c>
      <c r="Q9" s="96">
        <v>4.1389019797227782</v>
      </c>
      <c r="R9" s="96">
        <v>4.4098307487523911</v>
      </c>
      <c r="S9" s="96">
        <v>4.674599648288293</v>
      </c>
      <c r="T9" s="96">
        <v>4.9339252605955686</v>
      </c>
      <c r="U9" s="96">
        <v>5.1883859793119385</v>
      </c>
      <c r="V9" s="96">
        <v>5.4384563507378765</v>
      </c>
      <c r="W9" s="97">
        <v>5.6845312012644094</v>
      </c>
    </row>
    <row r="10" spans="1:23" ht="17" thickBot="1" x14ac:dyDescent="0.25">
      <c r="A10" s="142" t="s">
        <v>25</v>
      </c>
      <c r="B10" s="103">
        <v>0</v>
      </c>
      <c r="C10" s="99"/>
      <c r="D10" s="99"/>
      <c r="F10" s="232"/>
      <c r="G10" s="95">
        <v>0.22</v>
      </c>
      <c r="H10" s="96">
        <v>1.1084605529401692</v>
      </c>
      <c r="I10" s="96">
        <v>1.6435259790015664</v>
      </c>
      <c r="J10" s="96">
        <v>2.0846951717063575</v>
      </c>
      <c r="K10" s="96">
        <v>2.4773149435931145</v>
      </c>
      <c r="L10" s="96">
        <v>2.8388962307055721</v>
      </c>
      <c r="M10" s="96">
        <v>3.1783928157857595</v>
      </c>
      <c r="N10" s="96">
        <v>3.5011077480848485</v>
      </c>
      <c r="O10" s="96">
        <v>3.810485894489112</v>
      </c>
      <c r="P10" s="96">
        <v>4.1089128730274211</v>
      </c>
      <c r="Q10" s="96">
        <v>4.3981204107351104</v>
      </c>
      <c r="R10" s="96">
        <v>4.6794118932137039</v>
      </c>
      <c r="S10" s="96">
        <v>4.9537968904511516</v>
      </c>
      <c r="T10" s="96">
        <v>5.2220758728459558</v>
      </c>
      <c r="U10" s="96">
        <v>5.484895946160858</v>
      </c>
      <c r="V10" s="96">
        <v>5.7427888652328285</v>
      </c>
      <c r="W10" s="97">
        <v>5.9961977565177591</v>
      </c>
    </row>
    <row r="11" spans="1:23" x14ac:dyDescent="0.2">
      <c r="A11" s="99"/>
      <c r="B11" s="99"/>
      <c r="C11" s="104"/>
      <c r="D11" s="99"/>
      <c r="F11" s="232"/>
      <c r="G11" s="95">
        <v>0.24</v>
      </c>
      <c r="H11" s="96">
        <v>1.1969944017821703</v>
      </c>
      <c r="I11" s="96">
        <v>1.7677880652204152</v>
      </c>
      <c r="J11" s="96">
        <v>2.2357374714536995</v>
      </c>
      <c r="K11" s="96">
        <v>2.6504090569208749</v>
      </c>
      <c r="L11" s="96">
        <v>3.0309627503620362</v>
      </c>
      <c r="M11" s="96">
        <v>3.3872054023385303</v>
      </c>
      <c r="N11" s="96">
        <v>3.7249512400729969</v>
      </c>
      <c r="O11" s="96">
        <v>4.0479811135766433</v>
      </c>
      <c r="P11" s="96">
        <v>4.3589160799728361</v>
      </c>
      <c r="Q11" s="96">
        <v>4.6596608165196258</v>
      </c>
      <c r="R11" s="96">
        <v>4.951650444710026</v>
      </c>
      <c r="S11" s="96">
        <v>5.2359978048218956</v>
      </c>
      <c r="T11" s="96">
        <v>5.5135862382377603</v>
      </c>
      <c r="U11" s="96">
        <v>5.7851306544051511</v>
      </c>
      <c r="V11" s="96">
        <v>6.051219198532813</v>
      </c>
      <c r="W11" s="97">
        <v>6.3123425550799581</v>
      </c>
    </row>
    <row r="12" spans="1:23" ht="12.75" customHeight="1" x14ac:dyDescent="0.2">
      <c r="F12" s="232"/>
      <c r="G12" s="95">
        <v>0.26</v>
      </c>
      <c r="H12" s="96">
        <v>1.2855874488840406</v>
      </c>
      <c r="I12" s="96">
        <v>1.8922163803506535</v>
      </c>
      <c r="J12" s="96">
        <v>2.3870829481014653</v>
      </c>
      <c r="K12" s="96">
        <v>2.8239665711835009</v>
      </c>
      <c r="L12" s="96">
        <v>3.2236722162426332</v>
      </c>
      <c r="M12" s="96">
        <v>3.5968570609846715</v>
      </c>
      <c r="N12" s="96">
        <v>3.9498444491139821</v>
      </c>
      <c r="O12" s="96">
        <v>4.2867495806465072</v>
      </c>
      <c r="P12" s="96">
        <v>4.6104276109025051</v>
      </c>
      <c r="Q12" s="96">
        <v>4.9229550372319189</v>
      </c>
      <c r="R12" s="96">
        <v>5.225897745386181</v>
      </c>
      <c r="S12" s="96">
        <v>5.5204709974301558</v>
      </c>
      <c r="T12" s="96">
        <v>5.8076402554068096</v>
      </c>
      <c r="U12" s="96">
        <v>6.0881875620989554</v>
      </c>
      <c r="V12" s="96">
        <v>6.3627568490531488</v>
      </c>
      <c r="W12" s="97">
        <v>6.6318858105236416</v>
      </c>
    </row>
    <row r="13" spans="1:23" x14ac:dyDescent="0.2">
      <c r="F13" s="232"/>
      <c r="G13" s="95">
        <v>0.28000000000000003</v>
      </c>
      <c r="H13" s="96">
        <v>1.3742254540510146</v>
      </c>
      <c r="I13" s="96">
        <v>2.0167710126439609</v>
      </c>
      <c r="J13" s="96">
        <v>2.5386589449711359</v>
      </c>
      <c r="K13" s="96">
        <v>2.9978766404879842</v>
      </c>
      <c r="L13" s="96">
        <v>3.4168711247204904</v>
      </c>
      <c r="M13" s="96">
        <v>3.8071478411892485</v>
      </c>
      <c r="N13" s="96">
        <v>4.1755377014766566</v>
      </c>
      <c r="O13" s="96">
        <v>4.5264890299788227</v>
      </c>
      <c r="P13" s="96">
        <v>4.8630900746419208</v>
      </c>
      <c r="Q13" s="96">
        <v>5.1875883058544403</v>
      </c>
      <c r="R13" s="96">
        <v>5.5016796456324997</v>
      </c>
      <c r="S13" s="96">
        <v>5.8066811422137832</v>
      </c>
      <c r="T13" s="96">
        <v>6.1036398162595766</v>
      </c>
      <c r="U13" s="96">
        <v>6.3934043417051605</v>
      </c>
      <c r="V13" s="96">
        <v>6.6766739838314955</v>
      </c>
      <c r="W13" s="97">
        <v>6.95403303577503</v>
      </c>
    </row>
    <row r="14" spans="1:23" ht="17" thickBot="1" x14ac:dyDescent="0.25">
      <c r="F14" s="232"/>
      <c r="G14" s="95">
        <v>0.3</v>
      </c>
      <c r="H14" s="96">
        <v>1.4628978460955473</v>
      </c>
      <c r="I14" s="96">
        <v>2.1414223041202405</v>
      </c>
      <c r="J14" s="96">
        <v>2.6904114177401013</v>
      </c>
      <c r="K14" s="96">
        <v>3.1720567316464212</v>
      </c>
      <c r="L14" s="96">
        <v>3.6104450660840186</v>
      </c>
      <c r="M14" s="96">
        <v>4.0179285656255885</v>
      </c>
      <c r="N14" s="96">
        <v>4.4018445353619207</v>
      </c>
      <c r="O14" s="96">
        <v>4.7669734953864413</v>
      </c>
      <c r="P14" s="96">
        <v>5.1166360248225367</v>
      </c>
      <c r="Q14" s="96">
        <v>5.4532499260037071</v>
      </c>
      <c r="R14" s="96">
        <v>5.7786406064284463</v>
      </c>
      <c r="S14" s="96">
        <v>6.0942264197333458</v>
      </c>
      <c r="T14" s="96">
        <v>6.401135520127891</v>
      </c>
      <c r="U14" s="96">
        <v>6.7002828329101867</v>
      </c>
      <c r="V14" s="96">
        <v>6.9924226147768813</v>
      </c>
      <c r="W14" s="97">
        <v>7.2781854469090028</v>
      </c>
    </row>
    <row r="15" spans="1:23" x14ac:dyDescent="0.2">
      <c r="A15" s="228" t="s">
        <v>22</v>
      </c>
      <c r="B15" s="229"/>
      <c r="C15" s="229"/>
      <c r="D15" s="230"/>
      <c r="F15" s="232"/>
      <c r="G15" s="95">
        <v>0.32</v>
      </c>
      <c r="H15" s="96">
        <v>1.5515965796880806</v>
      </c>
      <c r="I15" s="96">
        <v>2.2661476654106529</v>
      </c>
      <c r="J15" s="96">
        <v>2.8422991703605796</v>
      </c>
      <c r="K15" s="96">
        <v>3.3464438828020242</v>
      </c>
      <c r="L15" s="96">
        <v>3.8043066917801092</v>
      </c>
      <c r="M15" s="96">
        <v>4.2290852513021306</v>
      </c>
      <c r="N15" s="96">
        <v>4.6286223663745787</v>
      </c>
      <c r="O15" s="96">
        <v>5.0080300466172574</v>
      </c>
      <c r="P15" s="96">
        <v>5.3708606236424821</v>
      </c>
      <c r="Q15" s="96">
        <v>5.719701744720961</v>
      </c>
      <c r="R15" s="96">
        <v>6.0565078845710119</v>
      </c>
      <c r="S15" s="96">
        <v>6.3827983372178068</v>
      </c>
      <c r="T15" s="96">
        <v>6.6997820677502595</v>
      </c>
      <c r="U15" s="96">
        <v>7.0084399645549063</v>
      </c>
      <c r="V15" s="96">
        <v>7.3095810159122365</v>
      </c>
      <c r="W15" s="97">
        <v>7.6038818550960663</v>
      </c>
    </row>
    <row r="16" spans="1:23" x14ac:dyDescent="0.2">
      <c r="A16" s="105"/>
      <c r="B16" s="106"/>
      <c r="C16" s="106"/>
      <c r="D16" s="107"/>
      <c r="F16" s="232"/>
      <c r="G16" s="95">
        <v>0.34</v>
      </c>
      <c r="H16" s="96">
        <v>1.6403153944066773</v>
      </c>
      <c r="I16" s="96">
        <v>2.3909295076901245</v>
      </c>
      <c r="J16" s="96">
        <v>2.9942901060456677</v>
      </c>
      <c r="K16" s="96">
        <v>3.5209890080148512</v>
      </c>
      <c r="L16" s="96">
        <v>3.9983878607015093</v>
      </c>
      <c r="M16" s="96">
        <v>4.4405289232762364</v>
      </c>
      <c r="N16" s="96">
        <v>4.8557598229891816</v>
      </c>
      <c r="O16" s="96">
        <v>5.2495235237405353</v>
      </c>
      <c r="P16" s="96">
        <v>5.6256036712093618</v>
      </c>
      <c r="Q16" s="96">
        <v>5.9867573887749685</v>
      </c>
      <c r="R16" s="96">
        <v>6.3350679017018265</v>
      </c>
      <c r="S16" s="96">
        <v>6.6721551681089473</v>
      </c>
      <c r="T16" s="96">
        <v>6.9993087197580586</v>
      </c>
      <c r="U16" s="96">
        <v>7.3175751899689807</v>
      </c>
      <c r="V16" s="96">
        <v>7.6278181019829105</v>
      </c>
      <c r="W16" s="97">
        <v>7.930759962611635</v>
      </c>
    </row>
    <row r="17" spans="1:23" x14ac:dyDescent="0.2">
      <c r="A17" s="141" t="s">
        <v>73</v>
      </c>
      <c r="B17" s="108">
        <f>S0*EXP(-q*T)*B30-K*EXP(-rf*T)*B31</f>
        <v>6.116508129330871</v>
      </c>
      <c r="C17" s="12" t="s">
        <v>74</v>
      </c>
      <c r="D17" s="109">
        <f>K*EXP(-rf*T)*B33-S0*EXP(-q*T)*Nd</f>
        <v>4.0759809847877797</v>
      </c>
      <c r="F17" s="232"/>
      <c r="G17" s="95">
        <v>0.36</v>
      </c>
      <c r="H17" s="96">
        <v>1.729049320090521</v>
      </c>
      <c r="I17" s="96">
        <v>2.5157538601575524</v>
      </c>
      <c r="J17" s="96">
        <v>3.1463587175318644</v>
      </c>
      <c r="K17" s="96">
        <v>3.6956530791820619</v>
      </c>
      <c r="L17" s="96">
        <v>4.1926343668030448</v>
      </c>
      <c r="M17" s="96">
        <v>4.6521887666472885</v>
      </c>
      <c r="N17" s="96">
        <v>5.0831682203042732</v>
      </c>
      <c r="O17" s="96">
        <v>5.4913462449687103</v>
      </c>
      <c r="P17" s="96">
        <v>5.8807374720555359</v>
      </c>
      <c r="Q17" s="96">
        <v>6.2542682249219403</v>
      </c>
      <c r="R17" s="96">
        <v>6.6141502423515739</v>
      </c>
      <c r="S17" s="96">
        <v>6.9621039397921187</v>
      </c>
      <c r="T17" s="96">
        <v>7.2994992329514865</v>
      </c>
      <c r="U17" s="96">
        <v>7.6274483368642194</v>
      </c>
      <c r="V17" s="96">
        <v>7.94686916263095</v>
      </c>
      <c r="W17" s="97">
        <v>8.2585299570194231</v>
      </c>
    </row>
    <row r="18" spans="1:23" x14ac:dyDescent="0.2">
      <c r="A18" s="141" t="s">
        <v>75</v>
      </c>
      <c r="B18" s="110">
        <f>EXP(-q*T)*B30</f>
        <v>0.61427308539138381</v>
      </c>
      <c r="C18" s="12" t="s">
        <v>76</v>
      </c>
      <c r="D18" s="111">
        <f>EXP(-q*T)*(B30-1)</f>
        <v>-0.38572691460861619</v>
      </c>
      <c r="F18" s="232"/>
      <c r="G18" s="95">
        <v>0.38</v>
      </c>
      <c r="H18" s="96">
        <v>1.8177943380177091</v>
      </c>
      <c r="I18" s="96">
        <v>2.6406094219709288</v>
      </c>
      <c r="J18" s="96">
        <v>3.2984843640700987</v>
      </c>
      <c r="K18" s="96">
        <v>3.8704045018225735</v>
      </c>
      <c r="L18" s="96">
        <v>4.3870023111663592</v>
      </c>
      <c r="M18" s="96">
        <v>4.8640074089955654</v>
      </c>
      <c r="N18" s="96">
        <v>5.3107756795336201</v>
      </c>
      <c r="O18" s="96">
        <v>5.7334108999086517</v>
      </c>
      <c r="P18" s="96">
        <v>6.1361584471316348</v>
      </c>
      <c r="Q18" s="96">
        <v>6.5221136426238751</v>
      </c>
      <c r="R18" s="96">
        <v>6.8936165654009045</v>
      </c>
      <c r="S18" s="96">
        <v>7.2524879370987776</v>
      </c>
      <c r="T18" s="96">
        <v>7.6001779238181797</v>
      </c>
      <c r="U18" s="96">
        <v>7.9378642030231141</v>
      </c>
      <c r="V18" s="96">
        <v>8.2665189661728071</v>
      </c>
      <c r="W18" s="97">
        <v>8.5869561023720493</v>
      </c>
    </row>
    <row r="19" spans="1:23" x14ac:dyDescent="0.2">
      <c r="A19" s="141" t="s">
        <v>62</v>
      </c>
      <c r="B19" s="110">
        <f>B35*EXP(-q*T)/(S0*Sigma*SQRT(T))</f>
        <v>2.9625377467716658E-2</v>
      </c>
      <c r="C19" s="12" t="s">
        <v>63</v>
      </c>
      <c r="D19" s="111">
        <f>B35*EXP(-q*T)/(S0*Sigma*SQRT(T))</f>
        <v>2.9625377467716658E-2</v>
      </c>
      <c r="F19" s="232"/>
      <c r="G19" s="95">
        <v>0.4</v>
      </c>
      <c r="H19" s="96">
        <v>1.9065471435100321</v>
      </c>
      <c r="I19" s="96">
        <v>2.7654868973687101</v>
      </c>
      <c r="J19" s="96">
        <v>3.450650061947794</v>
      </c>
      <c r="K19" s="96">
        <v>4.0452172712591832</v>
      </c>
      <c r="L19" s="96">
        <v>4.5814555505432395</v>
      </c>
      <c r="M19" s="96">
        <v>5.0759375994622822</v>
      </c>
      <c r="N19" s="96">
        <v>5.5385229844805259</v>
      </c>
      <c r="O19" s="96">
        <v>5.9756455371992558</v>
      </c>
      <c r="P19" s="96">
        <v>6.391781212074509</v>
      </c>
      <c r="Q19" s="96">
        <v>6.7901941872318723</v>
      </c>
      <c r="R19" s="96">
        <v>7.1733527606178065</v>
      </c>
      <c r="S19" s="96">
        <v>7.5431778542708052</v>
      </c>
      <c r="T19" s="96">
        <v>7.9011997912162499</v>
      </c>
      <c r="U19" s="96">
        <v>8.2486616278705718</v>
      </c>
      <c r="V19" s="96">
        <v>8.5865897608247401</v>
      </c>
      <c r="W19" s="97">
        <v>8.9158436532104552</v>
      </c>
    </row>
    <row r="20" spans="1:23" x14ac:dyDescent="0.2">
      <c r="A20" s="141" t="s">
        <v>64</v>
      </c>
      <c r="B20" s="110">
        <f>S0*SQRT(T)*B35*EXP(-q*T)/100</f>
        <v>0.12343907278215273</v>
      </c>
      <c r="C20" s="12" t="s">
        <v>65</v>
      </c>
      <c r="D20" s="111">
        <f>S0*SQRT(T)*B35*EXP(-q*T)/100</f>
        <v>0.12343907278215273</v>
      </c>
      <c r="F20" s="232"/>
      <c r="G20" s="95">
        <v>0.42</v>
      </c>
      <c r="H20" s="96">
        <v>1.9953049762339603</v>
      </c>
      <c r="I20" s="96">
        <v>2.890378520021109</v>
      </c>
      <c r="J20" s="96">
        <v>3.6028416185644332</v>
      </c>
      <c r="K20" s="96">
        <v>4.2200696515063996</v>
      </c>
      <c r="L20" s="96">
        <v>4.7759638677769622</v>
      </c>
      <c r="M20" s="96">
        <v>5.2879398255303052</v>
      </c>
      <c r="N20" s="96">
        <v>5.7663606056269074</v>
      </c>
      <c r="O20" s="96">
        <v>6.2179899617276995</v>
      </c>
      <c r="P20" s="96">
        <v>6.6475343173805896</v>
      </c>
      <c r="Q20" s="96">
        <v>7.0584266163368952</v>
      </c>
      <c r="R20" s="96">
        <v>7.4532632973273962</v>
      </c>
      <c r="S20" s="96">
        <v>7.8340654146472488</v>
      </c>
      <c r="T20" s="96">
        <v>8.2024433880395868</v>
      </c>
      <c r="U20" s="96">
        <v>8.5597055991047171</v>
      </c>
      <c r="V20" s="96">
        <v>8.9069326011122918</v>
      </c>
      <c r="W20" s="97">
        <v>9.2450293872237062</v>
      </c>
    </row>
    <row r="21" spans="1:23" x14ac:dyDescent="0.2">
      <c r="A21" s="141" t="s">
        <v>66</v>
      </c>
      <c r="B21" s="112">
        <f>(-S0*B35*Sigma*EXP(-q*T)/(2*SQRT(T))+q*S0*B30*EXP(-q*T)-rf*K*EXP(-rf*T)*B31)/365</f>
        <v>-2.2972027691964828E-2</v>
      </c>
      <c r="C21" s="12" t="s">
        <v>67</v>
      </c>
      <c r="D21" s="113">
        <f>(-S0*B35*Sigma*EXP(-q*T)/(2*SQRT(T))-q*S0*B32*EXP(-q*T)+rf*K*EXP(-rf*T)*B33)/365</f>
        <v>-9.832446087730061E-3</v>
      </c>
      <c r="F21" s="232"/>
      <c r="G21" s="95">
        <v>0.44</v>
      </c>
      <c r="H21" s="96">
        <v>2.0840654967032108</v>
      </c>
      <c r="I21" s="96">
        <v>3.0152777066542455</v>
      </c>
      <c r="J21" s="96">
        <v>3.7550470014375712</v>
      </c>
      <c r="K21" s="96">
        <v>4.3949432119519045</v>
      </c>
      <c r="L21" s="96">
        <v>4.9705016368449861</v>
      </c>
      <c r="M21" s="96">
        <v>5.4999805729506086</v>
      </c>
      <c r="N21" s="96">
        <v>5.9942465258708353</v>
      </c>
      <c r="O21" s="96">
        <v>6.4603931006043531</v>
      </c>
      <c r="P21" s="96">
        <v>6.9033571319246185</v>
      </c>
      <c r="Q21" s="96">
        <v>7.3267402805716806</v>
      </c>
      <c r="R21" s="96">
        <v>7.7332670843318532</v>
      </c>
      <c r="S21" s="96">
        <v>8.125058693370395</v>
      </c>
      <c r="T21" s="96">
        <v>8.50380559200185</v>
      </c>
      <c r="U21" s="96">
        <v>8.8708814583024527</v>
      </c>
      <c r="V21" s="96">
        <v>9.227420976351361</v>
      </c>
      <c r="W21" s="97">
        <v>9.5743746458496553</v>
      </c>
    </row>
    <row r="22" spans="1:23" ht="17" thickBot="1" x14ac:dyDescent="0.25">
      <c r="A22" s="142" t="s">
        <v>68</v>
      </c>
      <c r="B22" s="114">
        <f>K*T*EXP(-rf*T)*B31/100</f>
        <v>0.10248810891765968</v>
      </c>
      <c r="C22" s="140" t="s">
        <v>69</v>
      </c>
      <c r="D22" s="115">
        <f>-K*T*EXP(-rf*T)*B33/100</f>
        <v>-9.7343027980077448E-2</v>
      </c>
      <c r="F22" s="232"/>
      <c r="G22" s="95">
        <v>0.46</v>
      </c>
      <c r="H22" s="96">
        <v>2.1728266949480179</v>
      </c>
      <c r="I22" s="96">
        <v>3.1401788007522313</v>
      </c>
      <c r="J22" s="96">
        <v>3.9072558710467895</v>
      </c>
      <c r="K22" s="96">
        <v>4.5698221137693729</v>
      </c>
      <c r="L22" s="96">
        <v>5.1650468334271373</v>
      </c>
      <c r="M22" s="96">
        <v>5.7120310353305435</v>
      </c>
      <c r="N22" s="96">
        <v>6.2221446272237522</v>
      </c>
      <c r="O22" s="96">
        <v>6.7028110476169687</v>
      </c>
      <c r="P22" s="96">
        <v>7.1591975279239612</v>
      </c>
      <c r="Q22" s="96">
        <v>7.5950744336148652</v>
      </c>
      <c r="R22" s="96">
        <v>8.0132943910143872</v>
      </c>
      <c r="S22" s="96">
        <v>8.4160786369873613</v>
      </c>
      <c r="T22" s="96">
        <v>8.8051977123180265</v>
      </c>
      <c r="U22" s="96">
        <v>9.1820905843235074</v>
      </c>
      <c r="V22" s="96">
        <v>9.5479460613728762</v>
      </c>
      <c r="W22" s="97">
        <v>9.903760143787018</v>
      </c>
    </row>
    <row r="23" spans="1:23" x14ac:dyDescent="0.2">
      <c r="A23" s="2"/>
      <c r="B23" s="2"/>
      <c r="C23" s="116"/>
      <c r="D23" s="117"/>
      <c r="F23" s="232"/>
      <c r="G23" s="95">
        <v>0.48</v>
      </c>
      <c r="H23" s="96">
        <v>2.2615868219853894</v>
      </c>
      <c r="I23" s="96">
        <v>3.2650768801551955</v>
      </c>
      <c r="J23" s="96">
        <v>4.0594592299774028</v>
      </c>
      <c r="K23" s="96">
        <v>4.7446925737297114</v>
      </c>
      <c r="L23" s="96">
        <v>5.3595802910977604</v>
      </c>
      <c r="M23" s="96">
        <v>5.9240661436053372</v>
      </c>
      <c r="N23" s="96">
        <v>6.450023476858032</v>
      </c>
      <c r="O23" s="96">
        <v>6.945205591052698</v>
      </c>
      <c r="P23" s="96">
        <v>7.4150101372961963</v>
      </c>
      <c r="Q23" s="96">
        <v>7.8633762051641689</v>
      </c>
      <c r="R23" s="96">
        <v>8.2932845261427488</v>
      </c>
      <c r="S23" s="96">
        <v>8.7070564382909161</v>
      </c>
      <c r="T23" s="96">
        <v>9.1065425516679213</v>
      </c>
      <c r="U23" s="96">
        <v>9.4932471342672748</v>
      </c>
      <c r="V23" s="96">
        <v>9.8684131290525805</v>
      </c>
      <c r="W23" s="97">
        <v>10.233082046321371</v>
      </c>
    </row>
    <row r="24" spans="1:23" ht="17" thickBot="1" x14ac:dyDescent="0.25">
      <c r="A24" s="99"/>
      <c r="B24" s="99"/>
      <c r="C24" s="99"/>
      <c r="D24" s="99"/>
      <c r="F24" s="233"/>
      <c r="G24" s="118">
        <v>0.5</v>
      </c>
      <c r="H24" s="119">
        <v>2.3503443377160451</v>
      </c>
      <c r="I24" s="119">
        <v>3.3899676107188697</v>
      </c>
      <c r="J24" s="119">
        <v>4.2116491559545679</v>
      </c>
      <c r="K24" s="119">
        <v>4.9195424560537973</v>
      </c>
      <c r="L24" s="119">
        <v>5.5540851349130946</v>
      </c>
      <c r="M24" s="119">
        <v>6.1360638266812764</v>
      </c>
      <c r="N24" s="119">
        <v>6.677855401936263</v>
      </c>
      <c r="O24" s="119">
        <v>7.1875430912774405</v>
      </c>
      <c r="P24" s="119">
        <v>7.6707550217299492</v>
      </c>
      <c r="Q24" s="119">
        <v>8.1315990542329857</v>
      </c>
      <c r="R24" s="119">
        <v>8.5731840659798237</v>
      </c>
      <c r="S24" s="119">
        <v>8.9979315315788284</v>
      </c>
      <c r="T24" s="119">
        <v>9.4077721615995031</v>
      </c>
      <c r="U24" s="119">
        <v>9.8042755526060148</v>
      </c>
      <c r="V24" s="119">
        <v>10.188738807292694</v>
      </c>
      <c r="W24" s="120">
        <v>10.562248968758027</v>
      </c>
    </row>
    <row r="25" spans="1:23" x14ac:dyDescent="0.2">
      <c r="A25" s="228" t="s">
        <v>23</v>
      </c>
      <c r="B25" s="229"/>
      <c r="C25" s="229"/>
      <c r="D25" s="230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23" x14ac:dyDescent="0.2">
      <c r="A26" s="121"/>
      <c r="B26" s="122"/>
      <c r="C26" s="122"/>
      <c r="D26" s="123"/>
      <c r="F26" s="2"/>
      <c r="G26" s="2"/>
      <c r="H26" s="2"/>
      <c r="I26" s="2"/>
      <c r="J26" s="2"/>
      <c r="K26" s="2"/>
      <c r="L26" s="2"/>
      <c r="M26" s="2"/>
      <c r="N26" s="2"/>
      <c r="O26" s="2"/>
      <c r="Q26" s="227" t="s">
        <v>96</v>
      </c>
      <c r="R26" s="227"/>
      <c r="S26" s="124">
        <f>S0*EXP(-q*T)*B30-K*EXP(-rf*T)*B31</f>
        <v>6.116508129330871</v>
      </c>
    </row>
    <row r="27" spans="1:23" ht="18" x14ac:dyDescent="0.25">
      <c r="A27" s="144" t="s">
        <v>102</v>
      </c>
      <c r="B27" s="125">
        <f>(LN(S0/K)+(B9-B10+POWER(B7,2)/2)*B8)/(B7*SQRT(B8))</f>
        <v>0.29047375096555628</v>
      </c>
      <c r="C27" s="126"/>
      <c r="D27" s="127"/>
      <c r="F27" s="2"/>
      <c r="G27" s="2"/>
      <c r="H27" s="2"/>
      <c r="I27" s="2"/>
      <c r="J27" s="2"/>
      <c r="K27" s="2"/>
      <c r="L27" s="2"/>
      <c r="M27" s="2"/>
      <c r="N27" s="2"/>
      <c r="O27" s="2"/>
      <c r="Q27" s="128">
        <v>12</v>
      </c>
      <c r="R27" s="129">
        <f>Q27/12</f>
        <v>1</v>
      </c>
      <c r="S27" s="130">
        <f t="dataTable" ref="S27:S50" dt2D="0" dtr="0" r1="B8"/>
        <v>10.159234655029351</v>
      </c>
    </row>
    <row r="28" spans="1:23" ht="18" x14ac:dyDescent="0.25">
      <c r="A28" s="144" t="s">
        <v>103</v>
      </c>
      <c r="B28" s="110">
        <f>B27-Sigma*SQRT(T)</f>
        <v>3.2274861218395123E-2</v>
      </c>
      <c r="C28" s="131"/>
      <c r="D28" s="127"/>
      <c r="F28" s="2"/>
      <c r="G28" s="2"/>
      <c r="H28" s="2"/>
      <c r="I28" s="2"/>
      <c r="J28" s="2"/>
      <c r="K28" s="2"/>
      <c r="L28" s="2"/>
      <c r="M28" s="2"/>
      <c r="N28" s="2"/>
      <c r="O28" s="2"/>
      <c r="Q28" s="132">
        <f>Q27-0.5</f>
        <v>11.5</v>
      </c>
      <c r="R28" s="129">
        <f t="shared" ref="R28:R50" si="0">Q28/12</f>
        <v>0.95833333333333337</v>
      </c>
      <c r="S28" s="130">
        <v>9.9089175076249063</v>
      </c>
    </row>
    <row r="29" spans="1:23" x14ac:dyDescent="0.2">
      <c r="A29" s="87"/>
      <c r="B29" s="133"/>
      <c r="C29" s="20"/>
      <c r="D29" s="134"/>
      <c r="F29" s="2"/>
      <c r="G29" s="2"/>
      <c r="H29" s="2"/>
      <c r="I29" s="2"/>
      <c r="J29" s="2"/>
      <c r="K29" s="2"/>
      <c r="L29" s="2"/>
      <c r="M29" s="2"/>
      <c r="N29" s="2"/>
      <c r="O29" s="2"/>
      <c r="Q29" s="132">
        <f t="shared" ref="Q29:Q49" si="1">Q28-0.5</f>
        <v>11</v>
      </c>
      <c r="R29" s="129">
        <f t="shared" si="0"/>
        <v>0.91666666666666663</v>
      </c>
      <c r="S29" s="130">
        <v>9.654268555392008</v>
      </c>
    </row>
    <row r="30" spans="1:23" ht="18" x14ac:dyDescent="0.25">
      <c r="A30" s="144" t="s">
        <v>104</v>
      </c>
      <c r="B30" s="110">
        <f>NORMDIST(B27,0,1,TRUE)</f>
        <v>0.61427308539138381</v>
      </c>
      <c r="C30" s="20"/>
      <c r="D30" s="134"/>
      <c r="F30" s="2"/>
      <c r="G30" s="2"/>
      <c r="H30" s="2"/>
      <c r="I30" s="2"/>
      <c r="J30" s="2"/>
      <c r="K30" s="2"/>
      <c r="L30" s="2"/>
      <c r="M30" s="2"/>
      <c r="N30" s="2"/>
      <c r="O30" s="2"/>
      <c r="Q30" s="132">
        <f t="shared" si="1"/>
        <v>10.5</v>
      </c>
      <c r="R30" s="129">
        <f t="shared" si="0"/>
        <v>0.875</v>
      </c>
      <c r="S30" s="130">
        <v>9.3950246618667244</v>
      </c>
    </row>
    <row r="31" spans="1:23" ht="18" x14ac:dyDescent="0.25">
      <c r="A31" s="144" t="s">
        <v>105</v>
      </c>
      <c r="B31" s="110">
        <f>NORMDIST(B28,0,1,TRUE)</f>
        <v>0.51287357170022807</v>
      </c>
      <c r="C31" s="135"/>
      <c r="D31" s="127"/>
      <c r="F31" s="2"/>
      <c r="G31" s="2"/>
      <c r="H31" s="2"/>
      <c r="I31" s="2"/>
      <c r="J31" s="2"/>
      <c r="K31" s="2"/>
      <c r="L31" s="2"/>
      <c r="M31" s="2"/>
      <c r="N31" s="2"/>
      <c r="O31" s="2"/>
      <c r="Q31" s="132">
        <f t="shared" si="1"/>
        <v>10</v>
      </c>
      <c r="R31" s="129">
        <f t="shared" si="0"/>
        <v>0.83333333333333337</v>
      </c>
      <c r="S31" s="130">
        <v>9.1308915016052552</v>
      </c>
    </row>
    <row r="32" spans="1:23" ht="18" x14ac:dyDescent="0.25">
      <c r="A32" s="144" t="s">
        <v>106</v>
      </c>
      <c r="B32" s="110">
        <f>1-B30</f>
        <v>0.38572691460861619</v>
      </c>
      <c r="C32" s="131"/>
      <c r="D32" s="127"/>
      <c r="F32" s="2"/>
      <c r="G32" s="2"/>
      <c r="H32" s="2"/>
      <c r="I32" s="2"/>
      <c r="J32" s="2"/>
      <c r="K32" s="2"/>
      <c r="L32" s="2"/>
      <c r="M32" s="2"/>
      <c r="N32" s="2"/>
      <c r="O32" s="2"/>
      <c r="Q32" s="132">
        <f t="shared" si="1"/>
        <v>9.5</v>
      </c>
      <c r="R32" s="129">
        <f t="shared" si="0"/>
        <v>0.79166666666666663</v>
      </c>
      <c r="S32" s="130">
        <v>8.8615380514892124</v>
      </c>
    </row>
    <row r="33" spans="1:19" ht="18" x14ac:dyDescent="0.25">
      <c r="A33" s="144" t="s">
        <v>107</v>
      </c>
      <c r="B33" s="110">
        <f>1-B31</f>
        <v>0.48712642829977193</v>
      </c>
      <c r="C33" s="20"/>
      <c r="D33" s="134"/>
      <c r="F33" s="2"/>
      <c r="G33" s="2"/>
      <c r="H33" s="2"/>
      <c r="I33" s="2"/>
      <c r="J33" s="2"/>
      <c r="K33" s="2"/>
      <c r="L33" s="2"/>
      <c r="M33" s="2"/>
      <c r="N33" s="2"/>
      <c r="O33" s="2"/>
      <c r="Q33" s="132">
        <f t="shared" si="1"/>
        <v>9</v>
      </c>
      <c r="R33" s="129">
        <f t="shared" si="0"/>
        <v>0.75</v>
      </c>
      <c r="S33" s="130">
        <v>8.5865897608247401</v>
      </c>
    </row>
    <row r="34" spans="1:19" x14ac:dyDescent="0.2">
      <c r="A34" s="87"/>
      <c r="B34" s="133"/>
      <c r="C34" s="20"/>
      <c r="D34" s="134"/>
      <c r="F34" s="2"/>
      <c r="G34" s="2"/>
      <c r="H34" s="2"/>
      <c r="I34" s="2"/>
      <c r="J34" s="2"/>
      <c r="K34" s="99"/>
      <c r="L34" s="2"/>
      <c r="M34" s="2"/>
      <c r="N34" s="2"/>
      <c r="O34" s="2"/>
      <c r="Q34" s="132">
        <f t="shared" si="1"/>
        <v>8.5</v>
      </c>
      <c r="R34" s="129">
        <f t="shared" si="0"/>
        <v>0.70833333333333337</v>
      </c>
      <c r="S34" s="130">
        <v>8.3056199905506354</v>
      </c>
    </row>
    <row r="35" spans="1:19" ht="19" thickBot="1" x14ac:dyDescent="0.3">
      <c r="A35" s="145" t="s">
        <v>108</v>
      </c>
      <c r="B35" s="114">
        <f>EXP(-1*POWER(B27,2)/2)/SQRT(2*PI())</f>
        <v>0.38246197852525021</v>
      </c>
      <c r="C35" s="136"/>
      <c r="D35" s="137"/>
      <c r="F35" s="2"/>
      <c r="G35" s="2"/>
      <c r="H35" s="2"/>
      <c r="I35" s="2"/>
      <c r="J35" s="2"/>
      <c r="K35" s="2"/>
      <c r="L35" s="2"/>
      <c r="M35" s="2"/>
      <c r="N35" s="2"/>
      <c r="O35" s="2"/>
      <c r="Q35" s="132">
        <f t="shared" si="1"/>
        <v>8</v>
      </c>
      <c r="R35" s="129">
        <f t="shared" si="0"/>
        <v>0.66666666666666663</v>
      </c>
      <c r="S35" s="130">
        <v>8.018139152605368</v>
      </c>
    </row>
    <row r="36" spans="1:19" x14ac:dyDescent="0.2">
      <c r="A36" s="2"/>
      <c r="B36" s="138"/>
      <c r="C36" s="139"/>
      <c r="D36" s="2"/>
      <c r="F36" s="2"/>
      <c r="G36" s="2"/>
      <c r="H36" s="2"/>
      <c r="I36" s="2"/>
      <c r="J36" s="2"/>
      <c r="K36" s="2"/>
      <c r="L36" s="2"/>
      <c r="M36" s="2"/>
      <c r="N36" s="2"/>
      <c r="O36" s="2"/>
      <c r="Q36" s="132">
        <f t="shared" si="1"/>
        <v>7.5</v>
      </c>
      <c r="R36" s="129">
        <f t="shared" si="0"/>
        <v>0.625</v>
      </c>
      <c r="S36" s="130">
        <v>7.7235807451889578</v>
      </c>
    </row>
    <row r="37" spans="1:19" x14ac:dyDescent="0.2">
      <c r="A37" s="2"/>
      <c r="B37" s="138"/>
      <c r="C37" s="139"/>
      <c r="D37" s="2"/>
      <c r="F37" s="2"/>
      <c r="G37" s="2"/>
      <c r="H37" s="2"/>
      <c r="I37" s="2"/>
      <c r="J37" s="2"/>
      <c r="K37" s="2"/>
      <c r="L37" s="2"/>
      <c r="M37" s="2"/>
      <c r="N37" s="2"/>
      <c r="O37" s="2"/>
      <c r="Q37" s="132">
        <f t="shared" si="1"/>
        <v>7</v>
      </c>
      <c r="R37" s="129">
        <f t="shared" si="0"/>
        <v>0.58333333333333337</v>
      </c>
      <c r="S37" s="130">
        <v>7.4212831243039368</v>
      </c>
    </row>
    <row r="38" spans="1:19" x14ac:dyDescent="0.2">
      <c r="A38" s="2"/>
      <c r="B38" s="2"/>
      <c r="C38" s="2"/>
      <c r="D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132">
        <f t="shared" si="1"/>
        <v>6.5</v>
      </c>
      <c r="R38" s="129">
        <f t="shared" si="0"/>
        <v>0.54166666666666663</v>
      </c>
      <c r="S38" s="130">
        <v>7.1104653020424848</v>
      </c>
    </row>
    <row r="39" spans="1:19" x14ac:dyDescent="0.2">
      <c r="A39" s="2"/>
      <c r="B39" s="138"/>
      <c r="C39" s="139"/>
      <c r="D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132">
        <f t="shared" si="1"/>
        <v>6</v>
      </c>
      <c r="R39" s="129">
        <f t="shared" si="0"/>
        <v>0.5</v>
      </c>
      <c r="S39" s="130">
        <v>6.7901941872318723</v>
      </c>
    </row>
    <row r="40" spans="1:19" x14ac:dyDescent="0.2">
      <c r="A40" s="2"/>
      <c r="B40" s="138"/>
      <c r="C40" s="139"/>
      <c r="D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132">
        <f t="shared" si="1"/>
        <v>5.5</v>
      </c>
      <c r="R40" s="129">
        <f t="shared" si="0"/>
        <v>0.45833333333333331</v>
      </c>
      <c r="S40" s="130">
        <v>6.4593392477837774</v>
      </c>
    </row>
    <row r="41" spans="1:19" x14ac:dyDescent="0.2">
      <c r="A41" s="2"/>
      <c r="B41" s="138"/>
      <c r="C41" s="139"/>
      <c r="D41" s="2"/>
      <c r="F41" s="2"/>
      <c r="G41" s="2"/>
      <c r="H41" s="2"/>
      <c r="I41" s="2"/>
      <c r="J41" s="2"/>
      <c r="K41" s="2"/>
      <c r="L41" s="2"/>
      <c r="M41" s="2"/>
      <c r="N41" s="2"/>
      <c r="O41" s="2"/>
      <c r="Q41" s="132">
        <f t="shared" si="1"/>
        <v>5</v>
      </c>
      <c r="R41" s="129">
        <f t="shared" si="0"/>
        <v>0.41666666666666669</v>
      </c>
      <c r="S41" s="130">
        <v>6.116508129330871</v>
      </c>
    </row>
    <row r="42" spans="1:19" x14ac:dyDescent="0.2">
      <c r="A42" s="2"/>
      <c r="B42" s="138"/>
      <c r="C42" s="139"/>
      <c r="D42" s="2"/>
      <c r="F42" s="2"/>
      <c r="G42" s="2"/>
      <c r="H42" s="2"/>
      <c r="I42" s="2"/>
      <c r="J42" s="2"/>
      <c r="K42" s="2"/>
      <c r="L42" s="2"/>
      <c r="M42" s="2"/>
      <c r="N42" s="2"/>
      <c r="O42" s="2"/>
      <c r="Q42" s="132">
        <f t="shared" si="1"/>
        <v>4.5</v>
      </c>
      <c r="R42" s="129">
        <f t="shared" si="0"/>
        <v>0.375</v>
      </c>
      <c r="S42" s="130">
        <v>5.7599524246885672</v>
      </c>
    </row>
    <row r="43" spans="1:19" x14ac:dyDescent="0.2">
      <c r="A43" s="2"/>
      <c r="B43" s="2"/>
      <c r="C43" s="2"/>
      <c r="D43" s="2"/>
      <c r="F43" s="2"/>
      <c r="G43" s="2"/>
      <c r="H43" s="2"/>
      <c r="I43" s="2"/>
      <c r="J43" s="2"/>
      <c r="K43" s="2"/>
      <c r="L43" s="2"/>
      <c r="M43" s="2"/>
      <c r="N43" s="2"/>
      <c r="O43" s="2"/>
      <c r="Q43" s="132">
        <f t="shared" si="1"/>
        <v>4</v>
      </c>
      <c r="R43" s="129">
        <f t="shared" si="0"/>
        <v>0.33333333333333331</v>
      </c>
      <c r="S43" s="130">
        <v>5.3874246927795255</v>
      </c>
    </row>
    <row r="44" spans="1:19" x14ac:dyDescent="0.2">
      <c r="A44" s="2"/>
      <c r="B44" s="2"/>
      <c r="C44" s="2"/>
      <c r="D44" s="2"/>
      <c r="F44" s="2"/>
      <c r="G44" s="2"/>
      <c r="H44" s="2"/>
      <c r="I44" s="2"/>
      <c r="J44" s="2"/>
      <c r="K44" s="2"/>
      <c r="L44" s="2"/>
      <c r="M44" s="2"/>
      <c r="N44" s="2"/>
      <c r="O44" s="2"/>
      <c r="Q44" s="132">
        <f t="shared" si="1"/>
        <v>3.5</v>
      </c>
      <c r="R44" s="129">
        <f t="shared" si="0"/>
        <v>0.29166666666666669</v>
      </c>
      <c r="S44" s="130">
        <v>4.995951800279645</v>
      </c>
    </row>
    <row r="45" spans="1:19" x14ac:dyDescent="0.2">
      <c r="A45" s="2"/>
      <c r="B45" s="2"/>
      <c r="C45" s="2"/>
      <c r="D45" s="2"/>
      <c r="F45" s="2"/>
      <c r="G45" s="2"/>
      <c r="H45" s="2"/>
      <c r="I45" s="2"/>
      <c r="J45" s="2"/>
      <c r="K45" s="2"/>
      <c r="L45" s="2"/>
      <c r="M45" s="2"/>
      <c r="N45" s="2"/>
      <c r="O45" s="2"/>
      <c r="Q45" s="132">
        <f t="shared" si="1"/>
        <v>3</v>
      </c>
      <c r="R45" s="129">
        <f t="shared" si="0"/>
        <v>0.25</v>
      </c>
      <c r="S45" s="130">
        <v>4.5814555505432395</v>
      </c>
    </row>
    <row r="46" spans="1:19" x14ac:dyDescent="0.2">
      <c r="A46" s="2"/>
      <c r="B46" s="2"/>
      <c r="C46" s="2"/>
      <c r="D46" s="2"/>
      <c r="F46" s="2"/>
      <c r="G46" s="2"/>
      <c r="H46" s="2"/>
      <c r="I46" s="2"/>
      <c r="J46" s="2"/>
      <c r="K46" s="2"/>
      <c r="L46" s="2"/>
      <c r="M46" s="2"/>
      <c r="N46" s="2"/>
      <c r="O46" s="2"/>
      <c r="Q46" s="132">
        <f t="shared" si="1"/>
        <v>2.5</v>
      </c>
      <c r="R46" s="129">
        <f t="shared" si="0"/>
        <v>0.20833333333333334</v>
      </c>
      <c r="S46" s="130">
        <v>4.13807204210012</v>
      </c>
    </row>
    <row r="47" spans="1:19" x14ac:dyDescent="0.2">
      <c r="A47" s="2"/>
      <c r="B47" s="2"/>
      <c r="C47" s="2"/>
      <c r="D47" s="2"/>
      <c r="F47" s="2"/>
      <c r="G47" s="2"/>
      <c r="H47" s="2"/>
      <c r="I47" s="2"/>
      <c r="J47" s="2"/>
      <c r="K47" s="2"/>
      <c r="L47" s="2"/>
      <c r="M47" s="2"/>
      <c r="N47" s="2"/>
      <c r="O47" s="2"/>
      <c r="Q47" s="132">
        <f>Q46-0.5</f>
        <v>2</v>
      </c>
      <c r="R47" s="129">
        <f t="shared" si="0"/>
        <v>0.16666666666666666</v>
      </c>
      <c r="S47" s="130">
        <v>3.6568124645045508</v>
      </c>
    </row>
    <row r="48" spans="1:19" x14ac:dyDescent="0.2">
      <c r="A48" s="2"/>
      <c r="B48" s="2"/>
      <c r="C48" s="2"/>
      <c r="D48" s="2"/>
      <c r="F48" s="2"/>
      <c r="G48" s="2"/>
      <c r="H48" s="2"/>
      <c r="I48" s="2"/>
      <c r="J48" s="2"/>
      <c r="K48" s="2"/>
      <c r="L48" s="2"/>
      <c r="M48" s="2"/>
      <c r="N48" s="2"/>
      <c r="O48" s="2"/>
      <c r="Q48" s="132">
        <f t="shared" si="1"/>
        <v>1.5</v>
      </c>
      <c r="R48" s="129">
        <f t="shared" si="0"/>
        <v>0.125</v>
      </c>
      <c r="S48" s="130">
        <v>3.1225635374844529</v>
      </c>
    </row>
    <row r="49" spans="1:19" x14ac:dyDescent="0.2">
      <c r="A49" s="2"/>
      <c r="B49" s="2"/>
      <c r="C49" s="2"/>
      <c r="D49" s="2"/>
      <c r="F49" s="2"/>
      <c r="G49" s="2"/>
      <c r="H49" s="2"/>
      <c r="I49" s="2"/>
      <c r="J49" s="2"/>
      <c r="K49" s="2"/>
      <c r="L49" s="2"/>
      <c r="M49" s="2"/>
      <c r="N49" s="2"/>
      <c r="O49" s="2"/>
      <c r="Q49" s="132">
        <f t="shared" si="1"/>
        <v>1</v>
      </c>
      <c r="R49" s="129">
        <f t="shared" si="0"/>
        <v>8.3333333333333329E-2</v>
      </c>
      <c r="S49" s="130">
        <v>2.5058918661509821</v>
      </c>
    </row>
    <row r="50" spans="1:19" x14ac:dyDescent="0.2">
      <c r="A50" s="2"/>
      <c r="B50" s="2"/>
      <c r="C50" s="2"/>
      <c r="D50" s="2"/>
      <c r="F50" s="2"/>
      <c r="G50" s="2"/>
      <c r="H50" s="2"/>
      <c r="I50" s="2"/>
      <c r="J50" s="2"/>
      <c r="K50" s="2"/>
      <c r="L50" s="2"/>
      <c r="M50" s="2"/>
      <c r="N50" s="2"/>
      <c r="O50" s="2"/>
      <c r="Q50" s="132">
        <f>Q49-0.5</f>
        <v>0.5</v>
      </c>
      <c r="R50" s="129">
        <f t="shared" si="0"/>
        <v>4.1666666666666664E-2</v>
      </c>
      <c r="S50" s="130">
        <v>1.7309016596710478</v>
      </c>
    </row>
    <row r="51" spans="1:19" x14ac:dyDescent="0.2"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9" x14ac:dyDescent="0.2"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9" x14ac:dyDescent="0.2">
      <c r="F53" s="2"/>
      <c r="G53" s="2"/>
      <c r="H53" s="2"/>
      <c r="I53" s="2"/>
      <c r="J53" s="2"/>
      <c r="K53" s="2"/>
      <c r="L53" s="2"/>
      <c r="M53" s="2"/>
      <c r="N53" s="2"/>
      <c r="O53" s="2"/>
    </row>
  </sheetData>
  <sortState ref="Q27:R42">
    <sortCondition descending="1" ref="Q27"/>
  </sortState>
  <mergeCells count="7">
    <mergeCell ref="Q26:R26"/>
    <mergeCell ref="A25:D25"/>
    <mergeCell ref="F4:F24"/>
    <mergeCell ref="F1:W1"/>
    <mergeCell ref="A1:D1"/>
    <mergeCell ref="A3:D3"/>
    <mergeCell ref="A15:D15"/>
  </mergeCells>
  <phoneticPr fontId="2" type="noConversion"/>
  <pageMargins left="0.75" right="0.75" top="1" bottom="1" header="0.5" footer="0.5"/>
  <pageSetup orientation="portrait" horizontalDpi="0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Y47"/>
  <sheetViews>
    <sheetView workbookViewId="0">
      <selection activeCell="E11" sqref="E11"/>
    </sheetView>
  </sheetViews>
  <sheetFormatPr baseColWidth="10" defaultColWidth="8.83203125" defaultRowHeight="16" x14ac:dyDescent="0.2"/>
  <cols>
    <col min="1" max="3" width="8.83203125" style="1"/>
    <col min="4" max="4" width="14.5" style="1" customWidth="1"/>
    <col min="5" max="5" width="15" style="1" customWidth="1"/>
    <col min="6" max="6" width="11.5" style="1" customWidth="1"/>
    <col min="7" max="7" width="12.6640625" style="1" bestFit="1" customWidth="1"/>
    <col min="8" max="8" width="13.5" style="1" bestFit="1" customWidth="1"/>
    <col min="9" max="9" width="12.1640625" style="1" customWidth="1"/>
    <col min="10" max="10" width="16.5" style="1" bestFit="1" customWidth="1"/>
    <col min="11" max="11" width="17.33203125" style="1" bestFit="1" customWidth="1"/>
    <col min="12" max="12" width="17.5" style="1" bestFit="1" customWidth="1"/>
    <col min="13" max="13" width="9.33203125" style="1" bestFit="1" customWidth="1"/>
    <col min="14" max="17" width="8.83203125" style="1"/>
    <col min="18" max="18" width="11.1640625" style="1" bestFit="1" customWidth="1"/>
    <col min="19" max="20" width="8.83203125" style="1"/>
    <col min="21" max="21" width="14.1640625" style="1" bestFit="1" customWidth="1"/>
    <col min="22" max="22" width="8.83203125" style="1"/>
    <col min="23" max="23" width="9.33203125" style="1" customWidth="1"/>
    <col min="24" max="24" width="11.83203125" style="1" bestFit="1" customWidth="1"/>
    <col min="25" max="25" width="11.1640625" style="1" customWidth="1"/>
    <col min="26" max="16384" width="8.83203125" style="1"/>
  </cols>
  <sheetData>
    <row r="1" spans="1:25" x14ac:dyDescent="0.2">
      <c r="A1" s="243" t="s">
        <v>28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5"/>
    </row>
    <row r="2" spans="1:25" x14ac:dyDescent="0.2">
      <c r="W2" s="250" t="s">
        <v>99</v>
      </c>
      <c r="X2" s="253"/>
      <c r="Y2" s="80">
        <f>1/252</f>
        <v>3.968253968253968E-3</v>
      </c>
    </row>
    <row r="3" spans="1:25" x14ac:dyDescent="0.2">
      <c r="D3" s="246" t="s">
        <v>29</v>
      </c>
      <c r="E3" s="247"/>
      <c r="F3" s="248"/>
      <c r="H3" s="243" t="s">
        <v>22</v>
      </c>
      <c r="I3" s="244"/>
      <c r="J3" s="245"/>
      <c r="K3" s="2"/>
      <c r="L3" s="2"/>
      <c r="M3" s="2"/>
      <c r="N3" s="2"/>
      <c r="T3" s="3"/>
      <c r="U3" s="3"/>
    </row>
    <row r="4" spans="1:25" x14ac:dyDescent="0.2">
      <c r="D4" s="4"/>
      <c r="E4" s="5" t="s">
        <v>31</v>
      </c>
      <c r="F4" s="6">
        <v>125</v>
      </c>
      <c r="H4" s="7"/>
      <c r="I4" s="8" t="s">
        <v>77</v>
      </c>
      <c r="J4" s="9">
        <f>H47</f>
        <v>63868.221403221927</v>
      </c>
      <c r="K4" s="2"/>
      <c r="L4" s="252"/>
      <c r="M4" s="252"/>
      <c r="N4" s="2"/>
      <c r="T4" s="249"/>
      <c r="U4" s="249"/>
      <c r="W4" s="10" t="s">
        <v>78</v>
      </c>
      <c r="X4" s="250" t="s">
        <v>79</v>
      </c>
      <c r="Y4" s="251"/>
    </row>
    <row r="5" spans="1:25" x14ac:dyDescent="0.2">
      <c r="D5" s="11"/>
      <c r="E5" s="12" t="s">
        <v>30</v>
      </c>
      <c r="F5" s="13">
        <v>125</v>
      </c>
      <c r="H5" s="14"/>
      <c r="I5" s="15" t="s">
        <v>80</v>
      </c>
      <c r="J5" s="16">
        <f>G47</f>
        <v>63810.684660022896</v>
      </c>
      <c r="K5" s="2"/>
      <c r="L5" s="252"/>
      <c r="M5" s="252"/>
      <c r="N5" s="2"/>
      <c r="T5" s="3"/>
      <c r="U5" s="3"/>
      <c r="V5" s="17" t="s">
        <v>81</v>
      </c>
      <c r="W5" s="18">
        <f>AVERAGE(W13:W47)</f>
        <v>0.1400325930132697</v>
      </c>
      <c r="X5" s="9">
        <f>AVERAGE(X12:X47)</f>
        <v>131.45304543713405</v>
      </c>
      <c r="Y5" s="19">
        <f>AVERAGE(Y13:Y47)</f>
        <v>2.4037187493450313E-3</v>
      </c>
    </row>
    <row r="6" spans="1:25" x14ac:dyDescent="0.2">
      <c r="D6" s="11"/>
      <c r="E6" s="12" t="s">
        <v>32</v>
      </c>
      <c r="F6" s="13">
        <v>35</v>
      </c>
      <c r="H6" s="14"/>
      <c r="I6" s="20" t="s">
        <v>82</v>
      </c>
      <c r="J6" s="16">
        <f>J5-J4</f>
        <v>-57.536743199030752</v>
      </c>
      <c r="K6" s="2"/>
      <c r="L6" s="2"/>
      <c r="M6" s="2"/>
      <c r="N6" s="2"/>
      <c r="T6" s="3"/>
      <c r="U6" s="3"/>
      <c r="V6" s="17" t="s">
        <v>83</v>
      </c>
      <c r="W6" s="21">
        <f>STDEV(W13:W47)</f>
        <v>0.99160333526211919</v>
      </c>
      <c r="X6" s="223">
        <f>STDEV(X12:X47)</f>
        <v>6.2092927612088005</v>
      </c>
      <c r="Y6" s="22">
        <f>STDEV(Y13:Y47)</f>
        <v>1.5616284668605816E-2</v>
      </c>
    </row>
    <row r="7" spans="1:25" x14ac:dyDescent="0.2">
      <c r="D7" s="11"/>
      <c r="E7" s="12" t="s">
        <v>33</v>
      </c>
      <c r="F7" s="222">
        <v>0.05</v>
      </c>
      <c r="H7" s="23"/>
      <c r="I7" s="24" t="s">
        <v>84</v>
      </c>
      <c r="J7" s="25">
        <f>J6/J4</f>
        <v>-9.0086653322912519E-4</v>
      </c>
      <c r="T7" s="3"/>
      <c r="U7" s="3"/>
    </row>
    <row r="8" spans="1:25" x14ac:dyDescent="0.2">
      <c r="D8" s="11"/>
      <c r="E8" s="12" t="s">
        <v>85</v>
      </c>
      <c r="F8" s="222">
        <v>0.05</v>
      </c>
      <c r="T8" s="3"/>
      <c r="U8" s="3"/>
    </row>
    <row r="9" spans="1:25" ht="17" thickBot="1" x14ac:dyDescent="0.25">
      <c r="A9" s="26"/>
      <c r="B9" s="26"/>
      <c r="C9" s="26"/>
      <c r="D9" s="11"/>
      <c r="E9" s="12" t="s">
        <v>86</v>
      </c>
      <c r="F9" s="222">
        <v>0.25</v>
      </c>
      <c r="H9" s="26"/>
      <c r="I9" s="26"/>
      <c r="J9" s="26"/>
      <c r="K9" s="26"/>
      <c r="M9" s="26"/>
      <c r="N9" s="26"/>
      <c r="O9" s="27" t="s">
        <v>87</v>
      </c>
      <c r="P9" s="26"/>
      <c r="Q9" s="26"/>
      <c r="T9" s="28"/>
      <c r="U9" s="29" t="s">
        <v>92</v>
      </c>
    </row>
    <row r="10" spans="1:25" x14ac:dyDescent="0.2">
      <c r="A10" s="30"/>
      <c r="B10" s="31"/>
      <c r="C10" s="31"/>
      <c r="D10" s="31" t="s">
        <v>34</v>
      </c>
      <c r="E10" s="32" t="s">
        <v>98</v>
      </c>
      <c r="F10" s="32" t="s">
        <v>35</v>
      </c>
      <c r="G10" s="32" t="s">
        <v>36</v>
      </c>
      <c r="H10" s="32" t="s">
        <v>37</v>
      </c>
      <c r="I10" s="32" t="s">
        <v>38</v>
      </c>
      <c r="J10" s="32" t="s">
        <v>39</v>
      </c>
      <c r="K10" s="32" t="s">
        <v>40</v>
      </c>
      <c r="L10" s="32" t="s">
        <v>41</v>
      </c>
      <c r="M10" s="32" t="s">
        <v>42</v>
      </c>
      <c r="N10" s="33"/>
      <c r="O10" s="34" t="s">
        <v>58</v>
      </c>
      <c r="P10" s="32"/>
      <c r="Q10" s="32"/>
      <c r="R10" s="35" t="s">
        <v>36</v>
      </c>
      <c r="T10" s="36"/>
      <c r="U10" s="37" t="s">
        <v>93</v>
      </c>
      <c r="W10" s="83"/>
      <c r="X10" s="81" t="s">
        <v>88</v>
      </c>
      <c r="Y10" s="81" t="s">
        <v>88</v>
      </c>
    </row>
    <row r="11" spans="1:25" x14ac:dyDescent="0.2">
      <c r="A11" s="38" t="s">
        <v>44</v>
      </c>
      <c r="B11" s="39" t="s">
        <v>45</v>
      </c>
      <c r="C11" s="39" t="s">
        <v>46</v>
      </c>
      <c r="D11" s="39" t="s">
        <v>47</v>
      </c>
      <c r="E11" s="40" t="s">
        <v>88</v>
      </c>
      <c r="F11" s="41" t="s">
        <v>43</v>
      </c>
      <c r="G11" s="41" t="s">
        <v>48</v>
      </c>
      <c r="H11" s="41" t="s">
        <v>48</v>
      </c>
      <c r="I11" s="41" t="s">
        <v>49</v>
      </c>
      <c r="J11" s="41" t="s">
        <v>50</v>
      </c>
      <c r="K11" s="41" t="s">
        <v>51</v>
      </c>
      <c r="L11" s="41" t="s">
        <v>52</v>
      </c>
      <c r="M11" s="41" t="s">
        <v>53</v>
      </c>
      <c r="N11" s="42" t="s">
        <v>54</v>
      </c>
      <c r="O11" s="41" t="s">
        <v>55</v>
      </c>
      <c r="P11" s="41" t="s">
        <v>56</v>
      </c>
      <c r="Q11" s="41" t="s">
        <v>57</v>
      </c>
      <c r="R11" s="43" t="s">
        <v>97</v>
      </c>
      <c r="T11" s="36"/>
      <c r="U11" s="44" t="s">
        <v>94</v>
      </c>
      <c r="W11" s="82" t="s">
        <v>89</v>
      </c>
      <c r="X11" s="82" t="s">
        <v>90</v>
      </c>
      <c r="Y11" s="82" t="s">
        <v>91</v>
      </c>
    </row>
    <row r="12" spans="1:25" x14ac:dyDescent="0.2">
      <c r="A12" s="46">
        <v>0</v>
      </c>
      <c r="B12" s="47">
        <v>0</v>
      </c>
      <c r="C12" s="47">
        <v>0</v>
      </c>
      <c r="D12" s="47">
        <v>0</v>
      </c>
      <c r="E12" s="48">
        <f>IF($E$11="Original",U12,X12)</f>
        <v>125</v>
      </c>
      <c r="F12" s="49">
        <f t="shared" ref="F12:F46" si="0">E12*O12-StrikePrice*Q12*EXP(-RiskFree*M12)</f>
        <v>5.0737714384426269</v>
      </c>
      <c r="G12" s="50">
        <v>0</v>
      </c>
      <c r="H12" s="51">
        <f>J12*E12+I12*F12</f>
        <v>63426.228561557371</v>
      </c>
      <c r="I12" s="52">
        <v>-1000</v>
      </c>
      <c r="J12" s="53">
        <f>ROUND(-C13*O12,0)</f>
        <v>548</v>
      </c>
      <c r="K12" s="47">
        <v>0</v>
      </c>
      <c r="L12" s="47">
        <v>0</v>
      </c>
      <c r="M12" s="54">
        <f>($F$6-A12)/252</f>
        <v>0.1388888888888889</v>
      </c>
      <c r="N12" s="55">
        <f t="shared" ref="N12:N46" si="1">(LN(E12/StrikePrice)+RiskFree*M12)/($F$9*SQRT(M12))+$F$9*SQRT(M12)/2</f>
        <v>0.12112034878123862</v>
      </c>
      <c r="O12" s="55">
        <f>_xlfn.NORM.S.DIST(N12,TRUE)</f>
        <v>0.54820214408250434</v>
      </c>
      <c r="P12" s="55">
        <f>N12-$F$9*SQRT(M12)</f>
        <v>2.7950849718747381E-2</v>
      </c>
      <c r="Q12" s="55">
        <f>_xlfn.NORM.S.DIST(P12,TRUE)</f>
        <v>0.51114932397216362</v>
      </c>
      <c r="R12" s="56">
        <f>J12*1+$I$12*O12</f>
        <v>-0.2021440825043328</v>
      </c>
      <c r="S12" s="57"/>
      <c r="T12" s="58"/>
      <c r="U12" s="59">
        <v>125</v>
      </c>
      <c r="W12" s="60" t="s">
        <v>59</v>
      </c>
      <c r="X12" s="61">
        <f>F5</f>
        <v>125</v>
      </c>
      <c r="Y12" s="62" t="s">
        <v>59</v>
      </c>
    </row>
    <row r="13" spans="1:25" x14ac:dyDescent="0.2">
      <c r="A13" s="46">
        <v>1</v>
      </c>
      <c r="B13" s="53">
        <f>J12</f>
        <v>548</v>
      </c>
      <c r="C13" s="63">
        <f>$I$12</f>
        <v>-1000</v>
      </c>
      <c r="D13" s="55">
        <f>D12</f>
        <v>0</v>
      </c>
      <c r="E13" s="48">
        <f t="shared" ref="E13:E47" si="2">IF($E$11="Original",U13,X13)</f>
        <v>126.32567674653511</v>
      </c>
      <c r="F13" s="49">
        <f t="shared" si="0"/>
        <v>5.7506788657686769</v>
      </c>
      <c r="G13" s="51">
        <f>B13*E13+C13*F13+D13</f>
        <v>63475.791991332568</v>
      </c>
      <c r="H13" s="51">
        <f>H12*EXP($F$7*(M12-M13))</f>
        <v>63438.814379268144</v>
      </c>
      <c r="I13" s="64"/>
      <c r="J13" s="53">
        <f t="shared" ref="J13:J46" si="3">ROUND(-C14*O13,0)</f>
        <v>593</v>
      </c>
      <c r="K13" s="53">
        <f>J13-J12</f>
        <v>45</v>
      </c>
      <c r="L13" s="51">
        <f>-K13*E13</f>
        <v>-5684.6554535940795</v>
      </c>
      <c r="M13" s="54">
        <f t="shared" ref="M13:M47" si="4">($F$6-A13)/252</f>
        <v>0.13492063492063491</v>
      </c>
      <c r="N13" s="55">
        <f t="shared" si="1"/>
        <v>0.23426047583253293</v>
      </c>
      <c r="O13" s="55">
        <f t="shared" ref="O13:O46" si="5">_xlfn.NORM.S.DIST(N13,TRUE)</f>
        <v>0.5926086160205366</v>
      </c>
      <c r="P13" s="55">
        <f t="shared" ref="P13:P46" si="6">N13-$F$9*SQRT(M13)</f>
        <v>0.14243161499597631</v>
      </c>
      <c r="Q13" s="55">
        <f t="shared" ref="Q13:Q46" si="7">_xlfn.NORM.S.DIST(P13,TRUE)</f>
        <v>0.55663045410626277</v>
      </c>
      <c r="R13" s="56">
        <f t="shared" ref="R13:R46" si="8">J13*1+$I$12*O13</f>
        <v>0.39138397946339865</v>
      </c>
      <c r="T13" s="58"/>
      <c r="U13" s="65">
        <v>122.98749089953168</v>
      </c>
      <c r="W13" s="221">
        <v>0.65727817855076864</v>
      </c>
      <c r="X13" s="66">
        <f t="shared" ref="X13:X47" si="9">X12*EXP(Mean*$Y$2+Sigma_hedge*SQRT($Y$2)*W13)</f>
        <v>126.32567674653511</v>
      </c>
      <c r="Y13" s="67">
        <f>LN(X13/X12)</f>
        <v>1.0549571047429611E-2</v>
      </c>
    </row>
    <row r="14" spans="1:25" x14ac:dyDescent="0.2">
      <c r="A14" s="46">
        <v>2</v>
      </c>
      <c r="B14" s="53">
        <f t="shared" ref="B14:B47" si="10">J13</f>
        <v>593</v>
      </c>
      <c r="C14" s="63">
        <f t="shared" ref="C14:C47" si="11">$I$12</f>
        <v>-1000</v>
      </c>
      <c r="D14" s="51">
        <f>SUM(D13,L13)*EXP($F$7*(M12-M13))</f>
        <v>-5685.7834733251921</v>
      </c>
      <c r="E14" s="48">
        <f t="shared" si="2"/>
        <v>124.7409966475233</v>
      </c>
      <c r="F14" s="49">
        <f t="shared" si="0"/>
        <v>4.7744025311961735</v>
      </c>
      <c r="G14" s="51">
        <f t="shared" ref="G14:G47" si="12">B14*E14+C14*F14+D14</f>
        <v>63511.225007459943</v>
      </c>
      <c r="H14" s="51">
        <f t="shared" ref="H14:H47" si="13">H13*EXP($F$7*(M13-M14))</f>
        <v>63451.402694412725</v>
      </c>
      <c r="I14" s="64"/>
      <c r="J14" s="53">
        <f t="shared" si="3"/>
        <v>538</v>
      </c>
      <c r="K14" s="53">
        <f t="shared" ref="K14:K47" si="14">J14-J13</f>
        <v>-55</v>
      </c>
      <c r="L14" s="51">
        <f t="shared" ref="L14:L47" si="15">-K14*E14</f>
        <v>6860.7548156137818</v>
      </c>
      <c r="M14" s="54">
        <f t="shared" si="4"/>
        <v>0.13095238095238096</v>
      </c>
      <c r="N14" s="55">
        <f t="shared" si="1"/>
        <v>9.4681772711212003E-2</v>
      </c>
      <c r="O14" s="55">
        <f t="shared" si="5"/>
        <v>0.53771620190137825</v>
      </c>
      <c r="P14" s="55">
        <f t="shared" si="6"/>
        <v>4.2134146542437689E-3</v>
      </c>
      <c r="Q14" s="55">
        <f t="shared" si="7"/>
        <v>0.5016809042769621</v>
      </c>
      <c r="R14" s="56">
        <f t="shared" si="8"/>
        <v>0.28379809862178718</v>
      </c>
      <c r="T14" s="58"/>
      <c r="U14" s="65">
        <v>128.04370888637155</v>
      </c>
      <c r="W14" s="221">
        <v>-0.81418193076387979</v>
      </c>
      <c r="X14" s="66">
        <f t="shared" si="9"/>
        <v>124.7409966475233</v>
      </c>
      <c r="Y14" s="67">
        <f t="shared" ref="Y14:Y47" si="16">LN(X14/X13)</f>
        <v>-1.2623747484704134E-2</v>
      </c>
    </row>
    <row r="15" spans="1:25" x14ac:dyDescent="0.2">
      <c r="A15" s="46">
        <v>3</v>
      </c>
      <c r="B15" s="53">
        <f t="shared" si="10"/>
        <v>538</v>
      </c>
      <c r="C15" s="63">
        <f t="shared" si="11"/>
        <v>-1000</v>
      </c>
      <c r="D15" s="51">
        <f t="shared" ref="D15:D47" si="17">SUM(D14,L14)*EXP($F$7*(M13-M14))</f>
        <v>1175.2044946526007</v>
      </c>
      <c r="E15" s="48">
        <f t="shared" si="2"/>
        <v>123.89776167285606</v>
      </c>
      <c r="F15" s="49">
        <f t="shared" si="0"/>
        <v>4.2536661595971523</v>
      </c>
      <c r="G15" s="51">
        <f t="shared" si="12"/>
        <v>63578.534115052011</v>
      </c>
      <c r="H15" s="51">
        <f t="shared" si="13"/>
        <v>63463.993507486688</v>
      </c>
      <c r="I15" s="64"/>
      <c r="J15" s="53">
        <f t="shared" si="3"/>
        <v>507</v>
      </c>
      <c r="K15" s="53">
        <f t="shared" si="14"/>
        <v>-31</v>
      </c>
      <c r="L15" s="51">
        <f t="shared" si="15"/>
        <v>3840.8306118585378</v>
      </c>
      <c r="M15" s="54">
        <f t="shared" si="4"/>
        <v>0.12698412698412698</v>
      </c>
      <c r="N15" s="55">
        <f t="shared" si="1"/>
        <v>1.6393464487090833E-2</v>
      </c>
      <c r="O15" s="55">
        <f t="shared" si="5"/>
        <v>0.50653975318311417</v>
      </c>
      <c r="P15" s="55">
        <f t="shared" si="6"/>
        <v>-7.2693616150383958E-2</v>
      </c>
      <c r="Q15" s="55">
        <f t="shared" si="7"/>
        <v>0.47102496434216884</v>
      </c>
      <c r="R15" s="56">
        <f t="shared" si="8"/>
        <v>0.46024681688584224</v>
      </c>
      <c r="T15" s="58"/>
      <c r="U15" s="65">
        <v>127.11330110675407</v>
      </c>
      <c r="W15" s="221">
        <v>-0.44329567572276574</v>
      </c>
      <c r="X15" s="66">
        <f t="shared" si="9"/>
        <v>123.89776167285606</v>
      </c>
      <c r="Y15" s="67">
        <f t="shared" si="16"/>
        <v>-6.7828379874967015E-3</v>
      </c>
    </row>
    <row r="16" spans="1:25" x14ac:dyDescent="0.2">
      <c r="A16" s="46">
        <v>4</v>
      </c>
      <c r="B16" s="53">
        <f t="shared" si="10"/>
        <v>507</v>
      </c>
      <c r="C16" s="63">
        <f t="shared" si="11"/>
        <v>-1000</v>
      </c>
      <c r="D16" s="51">
        <f t="shared" si="17"/>
        <v>5017.0304503131138</v>
      </c>
      <c r="E16" s="48">
        <f t="shared" si="2"/>
        <v>121.74244346675691</v>
      </c>
      <c r="F16" s="49">
        <f t="shared" si="0"/>
        <v>3.1694813713086205</v>
      </c>
      <c r="G16" s="51">
        <f t="shared" si="12"/>
        <v>63570.967916650246</v>
      </c>
      <c r="H16" s="51">
        <f t="shared" si="13"/>
        <v>63476.586818985699</v>
      </c>
      <c r="I16" s="64"/>
      <c r="J16" s="53">
        <f t="shared" si="3"/>
        <v>426</v>
      </c>
      <c r="K16" s="53">
        <f t="shared" si="14"/>
        <v>-81</v>
      </c>
      <c r="L16" s="51">
        <f t="shared" si="15"/>
        <v>9861.1379208073104</v>
      </c>
      <c r="M16" s="54">
        <f t="shared" si="4"/>
        <v>0.12301587301587301</v>
      </c>
      <c r="N16" s="55">
        <f t="shared" si="1"/>
        <v>-0.18716065422760844</v>
      </c>
      <c r="O16" s="55">
        <f t="shared" si="5"/>
        <v>0.4257673365276457</v>
      </c>
      <c r="P16" s="55">
        <f t="shared" si="6"/>
        <v>-0.27484470102913366</v>
      </c>
      <c r="Q16" s="55">
        <f t="shared" si="7"/>
        <v>0.39171777680547915</v>
      </c>
      <c r="R16" s="56">
        <f t="shared" si="8"/>
        <v>0.23266347235431795</v>
      </c>
      <c r="T16" s="58"/>
      <c r="U16" s="65">
        <v>124.03210978335969</v>
      </c>
      <c r="W16" s="221">
        <v>-1.1269276001257822</v>
      </c>
      <c r="X16" s="66">
        <f t="shared" si="9"/>
        <v>121.74244346675691</v>
      </c>
      <c r="Y16" s="67">
        <f t="shared" si="16"/>
        <v>-1.7549028822466242E-2</v>
      </c>
    </row>
    <row r="17" spans="1:25" x14ac:dyDescent="0.2">
      <c r="A17" s="46">
        <v>5</v>
      </c>
      <c r="B17" s="53">
        <f t="shared" si="10"/>
        <v>426</v>
      </c>
      <c r="C17" s="63">
        <f t="shared" si="11"/>
        <v>-1000</v>
      </c>
      <c r="D17" s="51">
        <f t="shared" si="17"/>
        <v>14881.120681532628</v>
      </c>
      <c r="E17" s="48">
        <f t="shared" si="2"/>
        <v>122.47582031300381</v>
      </c>
      <c r="F17" s="49">
        <f t="shared" si="0"/>
        <v>3.4121772775382766</v>
      </c>
      <c r="G17" s="51">
        <f t="shared" si="12"/>
        <v>63643.642857333973</v>
      </c>
      <c r="H17" s="51">
        <f t="shared" si="13"/>
        <v>63489.182629405528</v>
      </c>
      <c r="I17" s="64"/>
      <c r="J17" s="53">
        <f t="shared" si="3"/>
        <v>451</v>
      </c>
      <c r="K17" s="53">
        <f t="shared" si="14"/>
        <v>25</v>
      </c>
      <c r="L17" s="51">
        <f t="shared" si="15"/>
        <v>-3061.8955078250951</v>
      </c>
      <c r="M17" s="54">
        <f t="shared" si="4"/>
        <v>0.11904761904761904</v>
      </c>
      <c r="N17" s="55">
        <f t="shared" si="1"/>
        <v>-0.12436491353795734</v>
      </c>
      <c r="O17" s="55">
        <f t="shared" si="5"/>
        <v>0.45051317628784088</v>
      </c>
      <c r="P17" s="55">
        <f t="shared" si="6"/>
        <v>-0.21062310845575161</v>
      </c>
      <c r="Q17" s="55">
        <f t="shared" si="7"/>
        <v>0.41659068942817279</v>
      </c>
      <c r="R17" s="56">
        <f t="shared" si="8"/>
        <v>0.48682371215915055</v>
      </c>
      <c r="T17" s="58"/>
      <c r="U17" s="65">
        <v>123.26058811272972</v>
      </c>
      <c r="W17" s="221">
        <v>0.36876599551760592</v>
      </c>
      <c r="X17" s="66">
        <f t="shared" si="9"/>
        <v>122.47582031300381</v>
      </c>
      <c r="Y17" s="67">
        <f t="shared" si="16"/>
        <v>6.0059312467266772E-3</v>
      </c>
    </row>
    <row r="18" spans="1:25" x14ac:dyDescent="0.2">
      <c r="A18" s="46">
        <v>6</v>
      </c>
      <c r="B18" s="53">
        <f t="shared" si="10"/>
        <v>451</v>
      </c>
      <c r="C18" s="63">
        <f t="shared" si="11"/>
        <v>-1000</v>
      </c>
      <c r="D18" s="51">
        <f t="shared" si="17"/>
        <v>11821.570490730041</v>
      </c>
      <c r="E18" s="48">
        <f t="shared" si="2"/>
        <v>123.09700949921684</v>
      </c>
      <c r="F18" s="49">
        <f t="shared" si="0"/>
        <v>3.6174083185217896</v>
      </c>
      <c r="G18" s="51">
        <f t="shared" si="12"/>
        <v>63720.91345635504</v>
      </c>
      <c r="H18" s="51">
        <f t="shared" si="13"/>
        <v>63501.780939242039</v>
      </c>
      <c r="I18" s="64"/>
      <c r="J18" s="53">
        <f t="shared" si="3"/>
        <v>472</v>
      </c>
      <c r="K18" s="53">
        <f t="shared" si="14"/>
        <v>21</v>
      </c>
      <c r="L18" s="51">
        <f t="shared" si="15"/>
        <v>-2585.0371994835536</v>
      </c>
      <c r="M18" s="54">
        <f t="shared" si="4"/>
        <v>0.11507936507936507</v>
      </c>
      <c r="N18" s="55">
        <f t="shared" si="1"/>
        <v>-7.0639241958627433E-2</v>
      </c>
      <c r="O18" s="55">
        <f t="shared" si="5"/>
        <v>0.471842438919574</v>
      </c>
      <c r="P18" s="55">
        <f t="shared" si="6"/>
        <v>-0.15544761605847868</v>
      </c>
      <c r="Q18" s="55">
        <f t="shared" si="7"/>
        <v>0.43823422408335733</v>
      </c>
      <c r="R18" s="56">
        <f t="shared" si="8"/>
        <v>0.15756108042597816</v>
      </c>
      <c r="T18" s="58"/>
      <c r="U18" s="65">
        <v>123.54824486580948</v>
      </c>
      <c r="W18" s="221">
        <v>0.30864498512528371</v>
      </c>
      <c r="X18" s="66">
        <f t="shared" si="9"/>
        <v>123.09700949921684</v>
      </c>
      <c r="Y18" s="67">
        <f t="shared" si="16"/>
        <v>5.0591143296550801E-3</v>
      </c>
    </row>
    <row r="19" spans="1:25" x14ac:dyDescent="0.2">
      <c r="A19" s="46">
        <v>7</v>
      </c>
      <c r="B19" s="53">
        <f t="shared" si="10"/>
        <v>472</v>
      </c>
      <c r="C19" s="63">
        <f t="shared" si="11"/>
        <v>-1000</v>
      </c>
      <c r="D19" s="51">
        <f t="shared" si="17"/>
        <v>9238.3661185628753</v>
      </c>
      <c r="E19" s="48">
        <f t="shared" si="2"/>
        <v>124.8986826535908</v>
      </c>
      <c r="F19" s="49">
        <f t="shared" si="0"/>
        <v>4.4435623654895267</v>
      </c>
      <c r="G19" s="51">
        <f t="shared" si="12"/>
        <v>63746.981965568208</v>
      </c>
      <c r="H19" s="51">
        <f t="shared" si="13"/>
        <v>63514.381748991196</v>
      </c>
      <c r="I19" s="64"/>
      <c r="J19" s="53">
        <f t="shared" si="3"/>
        <v>539</v>
      </c>
      <c r="K19" s="53">
        <f t="shared" si="14"/>
        <v>67</v>
      </c>
      <c r="L19" s="51">
        <f t="shared" si="15"/>
        <v>-8368.2117377905834</v>
      </c>
      <c r="M19" s="54">
        <f t="shared" si="4"/>
        <v>0.1111111111111111</v>
      </c>
      <c r="N19" s="55">
        <f t="shared" si="1"/>
        <v>9.8602924108147694E-2</v>
      </c>
      <c r="O19" s="55">
        <f t="shared" si="5"/>
        <v>0.53927322588234183</v>
      </c>
      <c r="P19" s="55">
        <f t="shared" si="6"/>
        <v>1.5269590774814365E-2</v>
      </c>
      <c r="Q19" s="55">
        <f t="shared" si="7"/>
        <v>0.5060914486494783</v>
      </c>
      <c r="R19" s="56">
        <f t="shared" si="8"/>
        <v>-0.27322588234187606</v>
      </c>
      <c r="T19" s="58"/>
      <c r="U19" s="65">
        <v>123.55928131155513</v>
      </c>
      <c r="W19" s="221">
        <v>0.91003585112048313</v>
      </c>
      <c r="X19" s="66">
        <f t="shared" si="9"/>
        <v>124.8986826535908</v>
      </c>
      <c r="Y19" s="67">
        <f t="shared" si="16"/>
        <v>1.4530130235423449E-2</v>
      </c>
    </row>
    <row r="20" spans="1:25" x14ac:dyDescent="0.2">
      <c r="A20" s="46">
        <v>8</v>
      </c>
      <c r="B20" s="53">
        <f t="shared" si="10"/>
        <v>539</v>
      </c>
      <c r="C20" s="63">
        <f t="shared" si="11"/>
        <v>-1000</v>
      </c>
      <c r="D20" s="51">
        <f t="shared" si="17"/>
        <v>870.32704758009368</v>
      </c>
      <c r="E20" s="48">
        <f t="shared" si="2"/>
        <v>123.7656217828238</v>
      </c>
      <c r="F20" s="49">
        <f t="shared" si="0"/>
        <v>3.7716230893847111</v>
      </c>
      <c r="G20" s="51">
        <f t="shared" si="12"/>
        <v>63808.374099137422</v>
      </c>
      <c r="H20" s="51">
        <f t="shared" si="13"/>
        <v>63526.985059149069</v>
      </c>
      <c r="I20" s="64"/>
      <c r="J20" s="53">
        <f t="shared" si="3"/>
        <v>494</v>
      </c>
      <c r="K20" s="53">
        <f t="shared" si="14"/>
        <v>-45</v>
      </c>
      <c r="L20" s="51">
        <f t="shared" si="15"/>
        <v>5569.4529802270708</v>
      </c>
      <c r="M20" s="54">
        <f t="shared" si="4"/>
        <v>0.10714285714285714</v>
      </c>
      <c r="N20" s="55">
        <f t="shared" si="1"/>
        <v>-1.4893371606637083E-2</v>
      </c>
      <c r="O20" s="55">
        <f t="shared" si="5"/>
        <v>0.49405862401445533</v>
      </c>
      <c r="P20" s="55">
        <f t="shared" si="6"/>
        <v>-9.6725080445134226E-2</v>
      </c>
      <c r="Q20" s="55">
        <f t="shared" si="7"/>
        <v>0.46147236094973082</v>
      </c>
      <c r="R20" s="56">
        <f t="shared" si="8"/>
        <v>-5.8624014455347151E-2</v>
      </c>
      <c r="T20" s="58"/>
      <c r="U20" s="65">
        <v>121.54686733357174</v>
      </c>
      <c r="W20" s="221">
        <v>-0.59127160056959838</v>
      </c>
      <c r="X20" s="66">
        <f t="shared" si="9"/>
        <v>123.7656217828238</v>
      </c>
      <c r="Y20" s="67">
        <f t="shared" si="16"/>
        <v>-9.1132397563627662E-3</v>
      </c>
    </row>
    <row r="21" spans="1:25" x14ac:dyDescent="0.2">
      <c r="A21" s="46">
        <v>9</v>
      </c>
      <c r="B21" s="53">
        <f t="shared" si="10"/>
        <v>494</v>
      </c>
      <c r="C21" s="63">
        <f t="shared" si="11"/>
        <v>-1000</v>
      </c>
      <c r="D21" s="51">
        <f t="shared" si="17"/>
        <v>6441.057888707388</v>
      </c>
      <c r="E21" s="48">
        <f t="shared" si="2"/>
        <v>126.73479860260517</v>
      </c>
      <c r="F21" s="49">
        <f t="shared" si="0"/>
        <v>5.3211589277369598</v>
      </c>
      <c r="G21" s="51">
        <f t="shared" si="12"/>
        <v>63726.889470657385</v>
      </c>
      <c r="H21" s="51">
        <f t="shared" si="13"/>
        <v>63539.590870211818</v>
      </c>
      <c r="I21" s="64"/>
      <c r="J21" s="53">
        <f t="shared" si="3"/>
        <v>609</v>
      </c>
      <c r="K21" s="53">
        <f t="shared" si="14"/>
        <v>115</v>
      </c>
      <c r="L21" s="51">
        <f t="shared" si="15"/>
        <v>-14574.501839299593</v>
      </c>
      <c r="M21" s="54">
        <f t="shared" si="4"/>
        <v>0.10317460317460317</v>
      </c>
      <c r="N21" s="55">
        <f t="shared" si="1"/>
        <v>0.27603172756201722</v>
      </c>
      <c r="O21" s="55">
        <f t="shared" si="5"/>
        <v>0.6087381512640655</v>
      </c>
      <c r="P21" s="55">
        <f t="shared" si="6"/>
        <v>0.19572971825706459</v>
      </c>
      <c r="Q21" s="55">
        <f t="shared" si="7"/>
        <v>0.57758913875925377</v>
      </c>
      <c r="R21" s="56">
        <f t="shared" si="8"/>
        <v>0.26184873593444991</v>
      </c>
      <c r="T21" s="58"/>
      <c r="U21" s="65">
        <v>122.1039235045475</v>
      </c>
      <c r="W21" s="221">
        <v>1.4927536540199071</v>
      </c>
      <c r="X21" s="66">
        <f t="shared" si="9"/>
        <v>126.73479860260517</v>
      </c>
      <c r="Y21" s="67">
        <f t="shared" si="16"/>
        <v>2.3707073039005731E-2</v>
      </c>
    </row>
    <row r="22" spans="1:25" x14ac:dyDescent="0.2">
      <c r="A22" s="46">
        <v>10</v>
      </c>
      <c r="B22" s="53">
        <f t="shared" si="10"/>
        <v>609</v>
      </c>
      <c r="C22" s="63">
        <f t="shared" si="11"/>
        <v>-1000</v>
      </c>
      <c r="D22" s="51">
        <f t="shared" si="17"/>
        <v>-8135.0578892614994</v>
      </c>
      <c r="E22" s="48">
        <f t="shared" si="2"/>
        <v>128.64094167472072</v>
      </c>
      <c r="F22" s="49">
        <f t="shared" si="0"/>
        <v>6.4604856540056232</v>
      </c>
      <c r="G22" s="51">
        <f t="shared" si="12"/>
        <v>63746.789936637797</v>
      </c>
      <c r="H22" s="51">
        <f t="shared" si="13"/>
        <v>63552.1991826757</v>
      </c>
      <c r="I22" s="64"/>
      <c r="J22" s="53">
        <f t="shared" si="3"/>
        <v>680</v>
      </c>
      <c r="K22" s="53">
        <f t="shared" si="14"/>
        <v>71</v>
      </c>
      <c r="L22" s="51">
        <f t="shared" si="15"/>
        <v>-9133.5068589051716</v>
      </c>
      <c r="M22" s="54">
        <f t="shared" si="4"/>
        <v>9.9206349206349201E-2</v>
      </c>
      <c r="N22" s="55">
        <f t="shared" si="1"/>
        <v>0.46698870607902787</v>
      </c>
      <c r="O22" s="55">
        <f t="shared" si="5"/>
        <v>0.67974602080450408</v>
      </c>
      <c r="P22" s="55">
        <f t="shared" si="6"/>
        <v>0.38824610753543887</v>
      </c>
      <c r="Q22" s="55">
        <f t="shared" si="7"/>
        <v>0.65108304243886961</v>
      </c>
      <c r="R22" s="56">
        <f t="shared" si="8"/>
        <v>0.25397919549595827</v>
      </c>
      <c r="T22" s="58"/>
      <c r="U22" s="65">
        <v>125.12107563336394</v>
      </c>
      <c r="W22" s="221">
        <v>0.93532662504003383</v>
      </c>
      <c r="X22" s="66">
        <f t="shared" si="9"/>
        <v>128.64094167472072</v>
      </c>
      <c r="Y22" s="67">
        <f t="shared" si="16"/>
        <v>1.4928422486944273E-2</v>
      </c>
    </row>
    <row r="23" spans="1:25" x14ac:dyDescent="0.2">
      <c r="A23" s="46">
        <v>11</v>
      </c>
      <c r="B23" s="53">
        <f t="shared" si="10"/>
        <v>680</v>
      </c>
      <c r="C23" s="63">
        <f t="shared" si="11"/>
        <v>-1000</v>
      </c>
      <c r="D23" s="51">
        <f t="shared" si="17"/>
        <v>-17271.991390629515</v>
      </c>
      <c r="E23" s="48">
        <f t="shared" si="2"/>
        <v>127.10985175383779</v>
      </c>
      <c r="F23" s="49">
        <f t="shared" si="0"/>
        <v>5.3708023289006803</v>
      </c>
      <c r="G23" s="51">
        <f t="shared" si="12"/>
        <v>63791.905473079503</v>
      </c>
      <c r="H23" s="51">
        <f t="shared" si="13"/>
        <v>63564.809997037075</v>
      </c>
      <c r="I23" s="64"/>
      <c r="J23" s="53">
        <f t="shared" si="3"/>
        <v>624</v>
      </c>
      <c r="K23" s="53">
        <f t="shared" si="14"/>
        <v>-56</v>
      </c>
      <c r="L23" s="51">
        <f t="shared" si="15"/>
        <v>7118.151698214916</v>
      </c>
      <c r="M23" s="54">
        <f t="shared" si="4"/>
        <v>9.5238095238095233E-2</v>
      </c>
      <c r="N23" s="55">
        <f t="shared" si="1"/>
        <v>0.31724580140683584</v>
      </c>
      <c r="O23" s="55">
        <f t="shared" si="5"/>
        <v>0.62447145053848618</v>
      </c>
      <c r="P23" s="55">
        <f t="shared" si="6"/>
        <v>0.24009412642578987</v>
      </c>
      <c r="Q23" s="55">
        <f t="shared" si="7"/>
        <v>0.59487135625219967</v>
      </c>
      <c r="R23" s="56">
        <f t="shared" si="8"/>
        <v>-0.47145053848623775</v>
      </c>
      <c r="T23" s="58"/>
      <c r="U23" s="65">
        <v>124.98094976899867</v>
      </c>
      <c r="W23" s="221">
        <v>-0.77288859756663442</v>
      </c>
      <c r="X23" s="66">
        <f t="shared" si="9"/>
        <v>127.10985175383779</v>
      </c>
      <c r="Y23" s="67">
        <f t="shared" si="16"/>
        <v>-1.1973438613008662E-2</v>
      </c>
    </row>
    <row r="24" spans="1:25" x14ac:dyDescent="0.2">
      <c r="A24" s="46">
        <v>12</v>
      </c>
      <c r="B24" s="53">
        <f t="shared" si="10"/>
        <v>624</v>
      </c>
      <c r="C24" s="63">
        <f t="shared" si="11"/>
        <v>-1000</v>
      </c>
      <c r="D24" s="51">
        <f t="shared" si="17"/>
        <v>-10155.854543026586</v>
      </c>
      <c r="E24" s="48">
        <f t="shared" si="2"/>
        <v>126.4807739295521</v>
      </c>
      <c r="F24" s="49">
        <f t="shared" si="0"/>
        <v>4.8922249236777589</v>
      </c>
      <c r="G24" s="51">
        <f t="shared" si="12"/>
        <v>63875.923465336171</v>
      </c>
      <c r="H24" s="51">
        <f t="shared" si="13"/>
        <v>63577.423313792402</v>
      </c>
      <c r="I24" s="64"/>
      <c r="J24" s="53">
        <f t="shared" si="3"/>
        <v>600</v>
      </c>
      <c r="K24" s="53">
        <f t="shared" si="14"/>
        <v>-24</v>
      </c>
      <c r="L24" s="51">
        <f t="shared" si="15"/>
        <v>3035.5385743092502</v>
      </c>
      <c r="M24" s="54">
        <f t="shared" si="4"/>
        <v>9.1269841269841265E-2</v>
      </c>
      <c r="N24" s="55">
        <f t="shared" si="1"/>
        <v>0.25411026968505857</v>
      </c>
      <c r="O24" s="55">
        <f t="shared" si="5"/>
        <v>0.60029481516791128</v>
      </c>
      <c r="P24" s="55">
        <f t="shared" si="6"/>
        <v>0.17858302242047808</v>
      </c>
      <c r="Q24" s="55">
        <f t="shared" si="7"/>
        <v>0.57086743683807195</v>
      </c>
      <c r="R24" s="56">
        <f t="shared" si="8"/>
        <v>-0.29481516791122431</v>
      </c>
      <c r="T24" s="58"/>
      <c r="U24" s="65">
        <v>127.12741465552489</v>
      </c>
      <c r="W24" s="221">
        <v>-0.32763637136667967</v>
      </c>
      <c r="X24" s="66">
        <f t="shared" si="9"/>
        <v>126.4807739295521</v>
      </c>
      <c r="Y24" s="67">
        <f t="shared" si="16"/>
        <v>-4.9613751533482409E-3</v>
      </c>
    </row>
    <row r="25" spans="1:25" x14ac:dyDescent="0.2">
      <c r="A25" s="46">
        <v>13</v>
      </c>
      <c r="B25" s="53">
        <f t="shared" si="10"/>
        <v>600</v>
      </c>
      <c r="C25" s="63">
        <f t="shared" si="11"/>
        <v>-1000</v>
      </c>
      <c r="D25" s="51">
        <f t="shared" si="17"/>
        <v>-7121.7288699863811</v>
      </c>
      <c r="E25" s="48">
        <f t="shared" si="2"/>
        <v>127.79854863112266</v>
      </c>
      <c r="F25" s="49">
        <f t="shared" si="0"/>
        <v>5.624040297632547</v>
      </c>
      <c r="G25" s="51">
        <f t="shared" si="12"/>
        <v>63933.360011054676</v>
      </c>
      <c r="H25" s="51">
        <f t="shared" si="13"/>
        <v>63590.039133438237</v>
      </c>
      <c r="I25" s="64"/>
      <c r="J25" s="53">
        <f t="shared" si="3"/>
        <v>654</v>
      </c>
      <c r="K25" s="53">
        <f t="shared" si="14"/>
        <v>54</v>
      </c>
      <c r="L25" s="51">
        <f t="shared" si="15"/>
        <v>-6901.1216260806232</v>
      </c>
      <c r="M25" s="54">
        <f t="shared" si="4"/>
        <v>8.7301587301587297E-2</v>
      </c>
      <c r="N25" s="55">
        <f t="shared" si="1"/>
        <v>0.39577430260468927</v>
      </c>
      <c r="O25" s="55">
        <f t="shared" si="5"/>
        <v>0.65386423212906974</v>
      </c>
      <c r="P25" s="55">
        <f t="shared" si="6"/>
        <v>0.32190719756902941</v>
      </c>
      <c r="Q25" s="55">
        <f t="shared" si="7"/>
        <v>0.62623849983836055</v>
      </c>
      <c r="R25" s="56">
        <f t="shared" si="8"/>
        <v>0.13576787093029452</v>
      </c>
      <c r="T25" s="58"/>
      <c r="U25" s="65">
        <v>128.14817950758533</v>
      </c>
      <c r="W25" s="221">
        <v>0.64555024437140673</v>
      </c>
      <c r="X25" s="66">
        <f t="shared" si="9"/>
        <v>127.79854863112266</v>
      </c>
      <c r="Y25" s="67">
        <f t="shared" si="16"/>
        <v>1.0364873444863436E-2</v>
      </c>
    </row>
    <row r="26" spans="1:25" x14ac:dyDescent="0.2">
      <c r="A26" s="46">
        <v>14</v>
      </c>
      <c r="B26" s="53">
        <f t="shared" si="10"/>
        <v>654</v>
      </c>
      <c r="C26" s="63">
        <f t="shared" si="11"/>
        <v>-1000</v>
      </c>
      <c r="D26" s="51">
        <f t="shared" si="17"/>
        <v>-14025.6330837146</v>
      </c>
      <c r="E26" s="48">
        <f t="shared" si="2"/>
        <v>125.88097763014697</v>
      </c>
      <c r="F26" s="49">
        <f t="shared" si="0"/>
        <v>4.3468860486337775</v>
      </c>
      <c r="G26" s="51">
        <f t="shared" si="12"/>
        <v>63953.640237767737</v>
      </c>
      <c r="H26" s="51">
        <f t="shared" si="13"/>
        <v>63602.657456471235</v>
      </c>
      <c r="I26" s="64"/>
      <c r="J26" s="53">
        <f t="shared" si="3"/>
        <v>576</v>
      </c>
      <c r="K26" s="53">
        <f t="shared" si="14"/>
        <v>-78</v>
      </c>
      <c r="L26" s="51">
        <f t="shared" si="15"/>
        <v>9818.716255151463</v>
      </c>
      <c r="M26" s="54">
        <f t="shared" si="4"/>
        <v>8.3333333333333329E-2</v>
      </c>
      <c r="N26" s="55">
        <f t="shared" si="1"/>
        <v>0.19113436399572056</v>
      </c>
      <c r="O26" s="55">
        <f t="shared" si="5"/>
        <v>0.57578983733391986</v>
      </c>
      <c r="P26" s="55">
        <f t="shared" si="6"/>
        <v>0.11896558034701735</v>
      </c>
      <c r="Q26" s="55">
        <f t="shared" si="7"/>
        <v>0.54734868750844834</v>
      </c>
      <c r="R26" s="56">
        <f t="shared" si="8"/>
        <v>0.21016266608012302</v>
      </c>
      <c r="T26" s="58"/>
      <c r="U26" s="65">
        <v>130.52549467430325</v>
      </c>
      <c r="W26" s="221">
        <v>-0.97258407549816184</v>
      </c>
      <c r="X26" s="66">
        <f t="shared" si="9"/>
        <v>125.88097763014697</v>
      </c>
      <c r="Y26" s="67">
        <f t="shared" si="16"/>
        <v>-1.5118346782955179E-2</v>
      </c>
    </row>
    <row r="27" spans="1:25" x14ac:dyDescent="0.2">
      <c r="A27" s="46">
        <v>15</v>
      </c>
      <c r="B27" s="53">
        <f t="shared" si="10"/>
        <v>576</v>
      </c>
      <c r="C27" s="63">
        <f t="shared" si="11"/>
        <v>-1000</v>
      </c>
      <c r="D27" s="51">
        <f t="shared" si="17"/>
        <v>-4207.7516170966737</v>
      </c>
      <c r="E27" s="48">
        <f t="shared" si="2"/>
        <v>127.44245389740225</v>
      </c>
      <c r="F27" s="49">
        <f t="shared" si="0"/>
        <v>5.1996770164636814</v>
      </c>
      <c r="G27" s="51">
        <f t="shared" si="12"/>
        <v>63999.424811343342</v>
      </c>
      <c r="H27" s="51">
        <f t="shared" si="13"/>
        <v>63615.27828338815</v>
      </c>
      <c r="I27" s="64"/>
      <c r="J27" s="53">
        <f t="shared" si="3"/>
        <v>643</v>
      </c>
      <c r="K27" s="53">
        <f t="shared" si="14"/>
        <v>67</v>
      </c>
      <c r="L27" s="51">
        <f t="shared" si="15"/>
        <v>-8538.6444111259498</v>
      </c>
      <c r="M27" s="54">
        <f t="shared" si="4"/>
        <v>7.9365079365079361E-2</v>
      </c>
      <c r="N27" s="55">
        <f t="shared" si="1"/>
        <v>0.366317925755758</v>
      </c>
      <c r="O27" s="55">
        <f t="shared" si="5"/>
        <v>0.64293607249326534</v>
      </c>
      <c r="P27" s="55">
        <f t="shared" si="6"/>
        <v>0.29588840452838161</v>
      </c>
      <c r="Q27" s="55">
        <f t="shared" si="7"/>
        <v>0.6163423466819189</v>
      </c>
      <c r="R27" s="56">
        <f t="shared" si="8"/>
        <v>6.3927506734671624E-2</v>
      </c>
      <c r="T27" s="58"/>
      <c r="U27" s="65">
        <v>131.63311087920829</v>
      </c>
      <c r="W27" s="221">
        <v>0.77021013566991314</v>
      </c>
      <c r="X27" s="66">
        <f t="shared" si="9"/>
        <v>127.44245389740225</v>
      </c>
      <c r="Y27" s="67">
        <f t="shared" si="16"/>
        <v>1.2328082199864542E-2</v>
      </c>
    </row>
    <row r="28" spans="1:25" x14ac:dyDescent="0.2">
      <c r="A28" s="46">
        <v>16</v>
      </c>
      <c r="B28" s="53">
        <f t="shared" si="10"/>
        <v>643</v>
      </c>
      <c r="C28" s="63">
        <f t="shared" si="11"/>
        <v>-1000</v>
      </c>
      <c r="D28" s="51">
        <f t="shared" si="17"/>
        <v>-12748.925325967717</v>
      </c>
      <c r="E28" s="48">
        <f t="shared" si="2"/>
        <v>126.5409113113198</v>
      </c>
      <c r="F28" s="49">
        <f t="shared" si="0"/>
        <v>4.536003207033886</v>
      </c>
      <c r="G28" s="51">
        <f t="shared" si="12"/>
        <v>64080.877440177021</v>
      </c>
      <c r="H28" s="51">
        <f t="shared" si="13"/>
        <v>63627.901614685834</v>
      </c>
      <c r="I28" s="64"/>
      <c r="J28" s="53">
        <f t="shared" si="3"/>
        <v>606</v>
      </c>
      <c r="K28" s="53">
        <f t="shared" si="14"/>
        <v>-37</v>
      </c>
      <c r="L28" s="51">
        <f t="shared" si="15"/>
        <v>4682.0137185188323</v>
      </c>
      <c r="M28" s="54">
        <f t="shared" si="4"/>
        <v>7.5396825396825393E-2</v>
      </c>
      <c r="N28" s="55">
        <f t="shared" si="1"/>
        <v>0.26771938772630077</v>
      </c>
      <c r="O28" s="55">
        <f t="shared" si="5"/>
        <v>0.60554233742171748</v>
      </c>
      <c r="P28" s="55">
        <f t="shared" si="6"/>
        <v>0.19907318180564126</v>
      </c>
      <c r="Q28" s="55">
        <f t="shared" si="7"/>
        <v>0.57889725041512063</v>
      </c>
      <c r="R28" s="56">
        <f t="shared" si="8"/>
        <v>0.45766257828256585</v>
      </c>
      <c r="T28" s="58"/>
      <c r="U28" s="65">
        <v>130.46500002753328</v>
      </c>
      <c r="W28" s="221">
        <v>-0.46338755055330694</v>
      </c>
      <c r="X28" s="66">
        <f t="shared" si="9"/>
        <v>126.5409113113198</v>
      </c>
      <c r="Y28" s="67">
        <f t="shared" si="16"/>
        <v>-7.0992552742504761E-3</v>
      </c>
    </row>
    <row r="29" spans="1:25" x14ac:dyDescent="0.2">
      <c r="A29" s="46">
        <v>17</v>
      </c>
      <c r="B29" s="53">
        <f t="shared" si="10"/>
        <v>606</v>
      </c>
      <c r="C29" s="63">
        <f t="shared" si="11"/>
        <v>-1000</v>
      </c>
      <c r="D29" s="51">
        <f t="shared" si="17"/>
        <v>-8068.5123439467479</v>
      </c>
      <c r="E29" s="48">
        <f t="shared" si="2"/>
        <v>129.11824893211883</v>
      </c>
      <c r="F29" s="49">
        <f t="shared" si="0"/>
        <v>6.1407095357705401</v>
      </c>
      <c r="G29" s="51">
        <f t="shared" si="12"/>
        <v>64036.436973146723</v>
      </c>
      <c r="H29" s="51">
        <f t="shared" si="13"/>
        <v>63640.527450861235</v>
      </c>
      <c r="I29" s="64"/>
      <c r="J29" s="53">
        <f t="shared" si="3"/>
        <v>716</v>
      </c>
      <c r="K29" s="53">
        <f t="shared" si="14"/>
        <v>110</v>
      </c>
      <c r="L29" s="51">
        <f t="shared" si="15"/>
        <v>-14203.007382533071</v>
      </c>
      <c r="M29" s="54">
        <f t="shared" si="4"/>
        <v>7.1428571428571425E-2</v>
      </c>
      <c r="N29" s="55">
        <f t="shared" si="1"/>
        <v>0.57200178713906191</v>
      </c>
      <c r="O29" s="55">
        <f t="shared" si="5"/>
        <v>0.71633961804372437</v>
      </c>
      <c r="P29" s="55">
        <f t="shared" si="6"/>
        <v>0.50518647666095584</v>
      </c>
      <c r="Q29" s="55">
        <f t="shared" si="7"/>
        <v>0.69328606615042343</v>
      </c>
      <c r="R29" s="56">
        <f t="shared" si="8"/>
        <v>-0.33961804372438564</v>
      </c>
      <c r="T29" s="58"/>
      <c r="U29" s="65">
        <v>129.19429869073514</v>
      </c>
      <c r="W29" s="221">
        <v>1.2677105587499682</v>
      </c>
      <c r="X29" s="66">
        <f t="shared" si="9"/>
        <v>129.11824893211883</v>
      </c>
      <c r="Y29" s="67">
        <f t="shared" si="16"/>
        <v>2.0162977417836295E-2</v>
      </c>
    </row>
    <row r="30" spans="1:25" x14ac:dyDescent="0.2">
      <c r="A30" s="46">
        <v>18</v>
      </c>
      <c r="B30" s="53">
        <f t="shared" si="10"/>
        <v>716</v>
      </c>
      <c r="C30" s="63">
        <f t="shared" si="11"/>
        <v>-1000</v>
      </c>
      <c r="D30" s="51">
        <f t="shared" si="17"/>
        <v>-22275.939117223625</v>
      </c>
      <c r="E30" s="48">
        <f t="shared" si="2"/>
        <v>134.90865299370515</v>
      </c>
      <c r="F30" s="49">
        <f t="shared" si="0"/>
        <v>10.776332813423764</v>
      </c>
      <c r="G30" s="51">
        <f t="shared" si="12"/>
        <v>63542.323612845503</v>
      </c>
      <c r="H30" s="51">
        <f t="shared" si="13"/>
        <v>63653.155792411402</v>
      </c>
      <c r="I30" s="64"/>
      <c r="J30" s="53">
        <f t="shared" si="3"/>
        <v>896</v>
      </c>
      <c r="K30" s="53">
        <f t="shared" si="14"/>
        <v>180</v>
      </c>
      <c r="L30" s="51">
        <f t="shared" si="15"/>
        <v>-24283.557538866928</v>
      </c>
      <c r="M30" s="54">
        <f t="shared" si="4"/>
        <v>6.7460317460317457E-2</v>
      </c>
      <c r="N30" s="55">
        <f t="shared" si="1"/>
        <v>1.259229627547217</v>
      </c>
      <c r="O30" s="55">
        <f t="shared" si="5"/>
        <v>0.89602629845650872</v>
      </c>
      <c r="P30" s="55">
        <f t="shared" si="6"/>
        <v>1.194296817341052</v>
      </c>
      <c r="Q30" s="55">
        <f t="shared" si="7"/>
        <v>0.88381905891988777</v>
      </c>
      <c r="R30" s="56">
        <f t="shared" si="8"/>
        <v>-2.6298456508698109E-2</v>
      </c>
      <c r="T30" s="58"/>
      <c r="U30" s="65">
        <v>132.30535736437142</v>
      </c>
      <c r="W30" s="221">
        <v>2.7730129659175873</v>
      </c>
      <c r="X30" s="66">
        <f t="shared" si="9"/>
        <v>134.90865299370515</v>
      </c>
      <c r="Y30" s="67">
        <f t="shared" si="16"/>
        <v>4.3869262044695857E-2</v>
      </c>
    </row>
    <row r="31" spans="1:25" x14ac:dyDescent="0.2">
      <c r="A31" s="46">
        <v>19</v>
      </c>
      <c r="B31" s="53">
        <f t="shared" si="10"/>
        <v>896</v>
      </c>
      <c r="C31" s="63">
        <f t="shared" si="11"/>
        <v>-1000</v>
      </c>
      <c r="D31" s="51">
        <f t="shared" si="17"/>
        <v>-46568.735567987234</v>
      </c>
      <c r="E31" s="48">
        <f t="shared" si="2"/>
        <v>134.4526701583149</v>
      </c>
      <c r="F31" s="49">
        <f t="shared" si="0"/>
        <v>10.299046792623159</v>
      </c>
      <c r="G31" s="51">
        <f t="shared" si="12"/>
        <v>63601.810101239746</v>
      </c>
      <c r="H31" s="51">
        <f t="shared" si="13"/>
        <v>63665.786639833481</v>
      </c>
      <c r="I31" s="64"/>
      <c r="J31" s="53">
        <f t="shared" si="3"/>
        <v>892</v>
      </c>
      <c r="K31" s="53">
        <f t="shared" si="14"/>
        <v>-4</v>
      </c>
      <c r="L31" s="51">
        <f t="shared" si="15"/>
        <v>537.81068063325961</v>
      </c>
      <c r="M31" s="54">
        <f t="shared" si="4"/>
        <v>6.3492063492063489E-2</v>
      </c>
      <c r="N31" s="55">
        <f t="shared" si="1"/>
        <v>1.2391201947684396</v>
      </c>
      <c r="O31" s="55">
        <f t="shared" si="5"/>
        <v>0.89234950537256841</v>
      </c>
      <c r="P31" s="55">
        <f t="shared" si="6"/>
        <v>1.1761261159335683</v>
      </c>
      <c r="Q31" s="55">
        <f t="shared" si="7"/>
        <v>0.88022775836535982</v>
      </c>
      <c r="R31" s="56">
        <f t="shared" si="8"/>
        <v>-0.34950537256838743</v>
      </c>
      <c r="T31" s="58"/>
      <c r="U31" s="65">
        <v>130.34079529149423</v>
      </c>
      <c r="W31" s="221">
        <v>-0.22758172235626262</v>
      </c>
      <c r="X31" s="66">
        <f t="shared" si="9"/>
        <v>134.4526701583149</v>
      </c>
      <c r="Y31" s="67">
        <f t="shared" si="16"/>
        <v>-3.3856625414587045E-3</v>
      </c>
    </row>
    <row r="32" spans="1:25" x14ac:dyDescent="0.2">
      <c r="A32" s="46">
        <v>20</v>
      </c>
      <c r="B32" s="53">
        <f t="shared" si="10"/>
        <v>892</v>
      </c>
      <c r="C32" s="63">
        <f t="shared" si="11"/>
        <v>-1000</v>
      </c>
      <c r="D32" s="51">
        <f t="shared" si="17"/>
        <v>-46040.058913494729</v>
      </c>
      <c r="E32" s="48">
        <f t="shared" si="2"/>
        <v>138.04914056117158</v>
      </c>
      <c r="F32" s="49">
        <f t="shared" si="0"/>
        <v>13.575357065798329</v>
      </c>
      <c r="G32" s="51">
        <f t="shared" si="12"/>
        <v>63524.417401271981</v>
      </c>
      <c r="H32" s="51">
        <f t="shared" si="13"/>
        <v>63678.419993624717</v>
      </c>
      <c r="I32" s="64"/>
      <c r="J32" s="53">
        <f t="shared" si="3"/>
        <v>956</v>
      </c>
      <c r="K32" s="53">
        <f t="shared" si="14"/>
        <v>64</v>
      </c>
      <c r="L32" s="51">
        <f t="shared" si="15"/>
        <v>-8835.1449959149813</v>
      </c>
      <c r="M32" s="54">
        <f t="shared" si="4"/>
        <v>5.9523809523809521E-2</v>
      </c>
      <c r="N32" s="55">
        <f t="shared" si="1"/>
        <v>1.7072614363347984</v>
      </c>
      <c r="O32" s="55">
        <f t="shared" si="5"/>
        <v>0.956113264770869</v>
      </c>
      <c r="P32" s="55">
        <f t="shared" si="6"/>
        <v>1.6462676817755151</v>
      </c>
      <c r="Q32" s="55">
        <f t="shared" si="7"/>
        <v>0.95014566992775396</v>
      </c>
      <c r="R32" s="56">
        <f t="shared" si="8"/>
        <v>-0.11326477086902287</v>
      </c>
      <c r="T32" s="58"/>
      <c r="U32" s="65">
        <v>135.17773789830042</v>
      </c>
      <c r="W32" s="221">
        <v>1.6635885913274251</v>
      </c>
      <c r="X32" s="66">
        <f t="shared" si="9"/>
        <v>138.04914056117158</v>
      </c>
      <c r="Y32" s="67">
        <f t="shared" si="16"/>
        <v>2.6397470416130719E-2</v>
      </c>
    </row>
    <row r="33" spans="1:25" x14ac:dyDescent="0.2">
      <c r="A33" s="46">
        <v>21</v>
      </c>
      <c r="B33" s="53">
        <f t="shared" si="10"/>
        <v>956</v>
      </c>
      <c r="C33" s="63">
        <f t="shared" si="11"/>
        <v>-1000</v>
      </c>
      <c r="D33" s="51">
        <f t="shared" si="17"/>
        <v>-54886.092926917278</v>
      </c>
      <c r="E33" s="48">
        <f t="shared" si="2"/>
        <v>139.47566631162911</v>
      </c>
      <c r="F33" s="49">
        <f t="shared" si="0"/>
        <v>14.906780854829407</v>
      </c>
      <c r="G33" s="51">
        <f t="shared" si="12"/>
        <v>63545.863212170749</v>
      </c>
      <c r="H33" s="51">
        <f t="shared" si="13"/>
        <v>63691.055854282458</v>
      </c>
      <c r="I33" s="64"/>
      <c r="J33" s="53">
        <f t="shared" si="3"/>
        <v>974</v>
      </c>
      <c r="K33" s="53">
        <f t="shared" si="14"/>
        <v>18</v>
      </c>
      <c r="L33" s="51">
        <f t="shared" si="15"/>
        <v>-2510.561993609324</v>
      </c>
      <c r="M33" s="54">
        <f t="shared" si="4"/>
        <v>5.5555555555555552E-2</v>
      </c>
      <c r="N33" s="55">
        <f t="shared" si="1"/>
        <v>1.9361766391024731</v>
      </c>
      <c r="O33" s="55">
        <f t="shared" si="5"/>
        <v>0.97357696470105337</v>
      </c>
      <c r="P33" s="55">
        <f t="shared" si="6"/>
        <v>1.8772510740035941</v>
      </c>
      <c r="Q33" s="55">
        <f t="shared" si="7"/>
        <v>0.96975815478310645</v>
      </c>
      <c r="R33" s="56">
        <f t="shared" si="8"/>
        <v>0.42303529894661551</v>
      </c>
      <c r="T33" s="58"/>
      <c r="U33" s="65">
        <v>136.15831452415676</v>
      </c>
      <c r="W33" s="221">
        <v>0.64018877310445532</v>
      </c>
      <c r="X33" s="66">
        <f t="shared" si="9"/>
        <v>139.47566631162911</v>
      </c>
      <c r="Y33" s="67">
        <f t="shared" si="16"/>
        <v>1.0280438208948072E-2</v>
      </c>
    </row>
    <row r="34" spans="1:25" x14ac:dyDescent="0.2">
      <c r="A34" s="46">
        <v>22</v>
      </c>
      <c r="B34" s="53">
        <f t="shared" si="10"/>
        <v>974</v>
      </c>
      <c r="C34" s="63">
        <f t="shared" si="11"/>
        <v>-1000</v>
      </c>
      <c r="D34" s="51">
        <f t="shared" si="17"/>
        <v>-57408.044275568209</v>
      </c>
      <c r="E34" s="48">
        <f t="shared" si="2"/>
        <v>138.82778139411903</v>
      </c>
      <c r="F34" s="49">
        <f t="shared" si="0"/>
        <v>14.233811235836882</v>
      </c>
      <c r="G34" s="51">
        <f t="shared" si="12"/>
        <v>63576.403566466855</v>
      </c>
      <c r="H34" s="51">
        <f t="shared" si="13"/>
        <v>63703.694222304148</v>
      </c>
      <c r="I34" s="64"/>
      <c r="J34" s="53">
        <f t="shared" si="3"/>
        <v>973</v>
      </c>
      <c r="K34" s="53">
        <f t="shared" si="14"/>
        <v>-1</v>
      </c>
      <c r="L34" s="51">
        <f t="shared" si="15"/>
        <v>138.82778139411903</v>
      </c>
      <c r="M34" s="54">
        <f t="shared" si="4"/>
        <v>5.1587301587301584E-2</v>
      </c>
      <c r="N34" s="55">
        <f t="shared" si="1"/>
        <v>1.9215901159144719</v>
      </c>
      <c r="O34" s="55">
        <f t="shared" si="5"/>
        <v>0.97267132336146445</v>
      </c>
      <c r="P34" s="55">
        <f t="shared" si="6"/>
        <v>1.8648080205920348</v>
      </c>
      <c r="Q34" s="55">
        <f t="shared" si="7"/>
        <v>0.96889584067110746</v>
      </c>
      <c r="R34" s="56">
        <f t="shared" si="8"/>
        <v>0.32867663853551221</v>
      </c>
      <c r="T34" s="58"/>
      <c r="U34" s="65">
        <v>136.14577229050315</v>
      </c>
      <c r="W34" s="221">
        <v>-0.30824367058812641</v>
      </c>
      <c r="X34" s="66">
        <f t="shared" si="9"/>
        <v>138.82778139411903</v>
      </c>
      <c r="Y34" s="67">
        <f t="shared" si="16"/>
        <v>-4.6559688229320774E-3</v>
      </c>
    </row>
    <row r="35" spans="1:25" x14ac:dyDescent="0.2">
      <c r="A35" s="46">
        <v>23</v>
      </c>
      <c r="B35" s="53">
        <f t="shared" si="10"/>
        <v>973</v>
      </c>
      <c r="C35" s="63">
        <f t="shared" si="11"/>
        <v>-1000</v>
      </c>
      <c r="D35" s="51">
        <f t="shared" si="17"/>
        <v>-57280.580561305011</v>
      </c>
      <c r="E35" s="48">
        <f t="shared" si="2"/>
        <v>137.29205802213659</v>
      </c>
      <c r="F35" s="49">
        <f t="shared" si="0"/>
        <v>12.701087603102792</v>
      </c>
      <c r="G35" s="51">
        <f t="shared" si="12"/>
        <v>63603.50429113111</v>
      </c>
      <c r="H35" s="51">
        <f t="shared" si="13"/>
        <v>63716.33509818733</v>
      </c>
      <c r="I35" s="64"/>
      <c r="J35" s="53">
        <f t="shared" si="3"/>
        <v>963</v>
      </c>
      <c r="K35" s="53">
        <f t="shared" si="14"/>
        <v>-10</v>
      </c>
      <c r="L35" s="51">
        <f t="shared" si="15"/>
        <v>1372.920580221366</v>
      </c>
      <c r="M35" s="54">
        <f t="shared" si="4"/>
        <v>4.7619047619047616E-2</v>
      </c>
      <c r="N35" s="55">
        <f t="shared" si="1"/>
        <v>1.7902432717377137</v>
      </c>
      <c r="O35" s="55">
        <f t="shared" si="5"/>
        <v>0.96329259425300373</v>
      </c>
      <c r="P35" s="55">
        <f t="shared" si="6"/>
        <v>1.7356887991787155</v>
      </c>
      <c r="Q35" s="55">
        <f t="shared" si="7"/>
        <v>0.95869056247079953</v>
      </c>
      <c r="R35" s="56">
        <f t="shared" si="8"/>
        <v>-0.29259425300369912</v>
      </c>
      <c r="T35" s="58"/>
      <c r="U35" s="65">
        <v>132.12934220556818</v>
      </c>
      <c r="W35" s="221">
        <v>-0.71893282438395545</v>
      </c>
      <c r="X35" s="66">
        <f t="shared" si="9"/>
        <v>137.29205802213659</v>
      </c>
      <c r="Y35" s="67">
        <f t="shared" si="16"/>
        <v>-1.112371505564215E-2</v>
      </c>
    </row>
    <row r="36" spans="1:25" x14ac:dyDescent="0.2">
      <c r="A36" s="46">
        <v>24</v>
      </c>
      <c r="B36" s="53">
        <f t="shared" si="10"/>
        <v>963</v>
      </c>
      <c r="C36" s="63">
        <f t="shared" si="11"/>
        <v>-1000</v>
      </c>
      <c r="D36" s="51">
        <f t="shared" si="17"/>
        <v>-55918.753871310379</v>
      </c>
      <c r="E36" s="48">
        <f t="shared" si="2"/>
        <v>137.27157894622729</v>
      </c>
      <c r="F36" s="49">
        <f t="shared" si="0"/>
        <v>12.633438430929672</v>
      </c>
      <c r="G36" s="51">
        <f t="shared" si="12"/>
        <v>63640.338222976839</v>
      </c>
      <c r="H36" s="51">
        <f t="shared" si="13"/>
        <v>63728.978482429644</v>
      </c>
      <c r="I36" s="64"/>
      <c r="J36" s="53">
        <f t="shared" si="3"/>
        <v>969</v>
      </c>
      <c r="K36" s="53">
        <f t="shared" si="14"/>
        <v>6</v>
      </c>
      <c r="L36" s="51">
        <f t="shared" si="15"/>
        <v>-823.62947367736376</v>
      </c>
      <c r="M36" s="54">
        <f t="shared" si="4"/>
        <v>4.3650793650793648E-2</v>
      </c>
      <c r="N36" s="55">
        <f t="shared" si="1"/>
        <v>1.8608192293965027</v>
      </c>
      <c r="O36" s="55">
        <f t="shared" si="5"/>
        <v>0.96861514549190242</v>
      </c>
      <c r="P36" s="55">
        <f t="shared" si="6"/>
        <v>1.8085872985191687</v>
      </c>
      <c r="Q36" s="55">
        <f t="shared" si="7"/>
        <v>0.96474242839455771</v>
      </c>
      <c r="R36" s="56">
        <f t="shared" si="8"/>
        <v>0.38485450809753274</v>
      </c>
      <c r="T36" s="58"/>
      <c r="U36" s="65">
        <v>129.62274068825121</v>
      </c>
      <c r="W36" s="221">
        <v>-2.2071162675274536E-2</v>
      </c>
      <c r="X36" s="66">
        <f t="shared" si="9"/>
        <v>137.27157894622729</v>
      </c>
      <c r="Y36" s="67">
        <f t="shared" si="16"/>
        <v>-1.491754419732993E-4</v>
      </c>
    </row>
    <row r="37" spans="1:25" x14ac:dyDescent="0.2">
      <c r="A37" s="46">
        <v>25</v>
      </c>
      <c r="B37" s="53">
        <f t="shared" si="10"/>
        <v>969</v>
      </c>
      <c r="C37" s="63">
        <f t="shared" si="11"/>
        <v>-1000</v>
      </c>
      <c r="D37" s="51">
        <f t="shared" si="17"/>
        <v>-56753.642871361153</v>
      </c>
      <c r="E37" s="48">
        <f t="shared" si="2"/>
        <v>136.00140009941359</v>
      </c>
      <c r="F37" s="49">
        <f t="shared" si="0"/>
        <v>11.358398369527038</v>
      </c>
      <c r="G37" s="51">
        <f t="shared" si="12"/>
        <v>63673.31545544356</v>
      </c>
      <c r="H37" s="51">
        <f t="shared" si="13"/>
        <v>63741.624375528823</v>
      </c>
      <c r="I37" s="64"/>
      <c r="J37" s="53">
        <f t="shared" si="3"/>
        <v>961</v>
      </c>
      <c r="K37" s="53">
        <f t="shared" si="14"/>
        <v>-8</v>
      </c>
      <c r="L37" s="51">
        <f t="shared" si="15"/>
        <v>1088.0112007953087</v>
      </c>
      <c r="M37" s="54">
        <f t="shared" si="4"/>
        <v>3.968253968253968E-2</v>
      </c>
      <c r="N37" s="55">
        <f t="shared" si="1"/>
        <v>1.7585050872039873</v>
      </c>
      <c r="O37" s="55">
        <f t="shared" si="5"/>
        <v>0.96066919662562122</v>
      </c>
      <c r="P37" s="55">
        <f t="shared" si="6"/>
        <v>1.7087038951483877</v>
      </c>
      <c r="Q37" s="55">
        <f t="shared" si="7"/>
        <v>0.95624709388061246</v>
      </c>
      <c r="R37" s="56">
        <f t="shared" si="8"/>
        <v>0.33080337437877461</v>
      </c>
      <c r="T37" s="58"/>
      <c r="U37" s="65">
        <v>128.21520261930269</v>
      </c>
      <c r="W37" s="221">
        <v>-0.60288357417448424</v>
      </c>
      <c r="X37" s="66">
        <f t="shared" si="9"/>
        <v>136.00140009941359</v>
      </c>
      <c r="Y37" s="67">
        <f t="shared" si="16"/>
        <v>-9.2961111515365621E-3</v>
      </c>
    </row>
    <row r="38" spans="1:25" x14ac:dyDescent="0.2">
      <c r="A38" s="46">
        <v>26</v>
      </c>
      <c r="B38" s="53">
        <f t="shared" si="10"/>
        <v>961</v>
      </c>
      <c r="C38" s="63">
        <f t="shared" si="11"/>
        <v>-1000</v>
      </c>
      <c r="D38" s="51">
        <f t="shared" si="17"/>
        <v>-55676.677534538052</v>
      </c>
      <c r="E38" s="48">
        <f t="shared" si="2"/>
        <v>137.18231956621813</v>
      </c>
      <c r="F38" s="49">
        <f t="shared" si="0"/>
        <v>12.456944717359733</v>
      </c>
      <c r="G38" s="51">
        <f t="shared" si="12"/>
        <v>63698.586851237844</v>
      </c>
      <c r="H38" s="51">
        <f t="shared" si="13"/>
        <v>63754.272777982718</v>
      </c>
      <c r="I38" s="64"/>
      <c r="J38" s="53">
        <f t="shared" si="3"/>
        <v>979</v>
      </c>
      <c r="K38" s="53">
        <f t="shared" si="14"/>
        <v>18</v>
      </c>
      <c r="L38" s="51">
        <f t="shared" si="15"/>
        <v>-2469.2817521919264</v>
      </c>
      <c r="M38" s="54">
        <f t="shared" si="4"/>
        <v>3.5714285714285712E-2</v>
      </c>
      <c r="N38" s="55">
        <f t="shared" si="1"/>
        <v>2.0297968960069541</v>
      </c>
      <c r="O38" s="55">
        <f t="shared" si="5"/>
        <v>0.97881140569177394</v>
      </c>
      <c r="P38" s="55">
        <f t="shared" si="6"/>
        <v>1.9825513368808008</v>
      </c>
      <c r="Q38" s="55">
        <f t="shared" si="7"/>
        <v>0.9762912161775783</v>
      </c>
      <c r="R38" s="56">
        <f t="shared" si="8"/>
        <v>0.18859430822601553</v>
      </c>
      <c r="T38" s="58"/>
      <c r="U38" s="65">
        <v>130.68610624233312</v>
      </c>
      <c r="W38" s="221">
        <v>0.53638359531760216</v>
      </c>
      <c r="X38" s="66">
        <f t="shared" si="9"/>
        <v>137.18231956621813</v>
      </c>
      <c r="Y38" s="67">
        <f t="shared" si="16"/>
        <v>8.6456603207048545E-3</v>
      </c>
    </row>
    <row r="39" spans="1:25" x14ac:dyDescent="0.2">
      <c r="A39" s="46">
        <v>27</v>
      </c>
      <c r="B39" s="53">
        <f t="shared" si="10"/>
        <v>979</v>
      </c>
      <c r="C39" s="63">
        <f t="shared" si="11"/>
        <v>-1000</v>
      </c>
      <c r="D39" s="51">
        <f t="shared" si="17"/>
        <v>-58157.497328022953</v>
      </c>
      <c r="E39" s="48">
        <f t="shared" si="2"/>
        <v>136.21296860783042</v>
      </c>
      <c r="F39" s="49">
        <f t="shared" si="0"/>
        <v>11.465458351412607</v>
      </c>
      <c r="G39" s="51">
        <f t="shared" si="12"/>
        <v>63729.540587630421</v>
      </c>
      <c r="H39" s="51">
        <f t="shared" si="13"/>
        <v>63766.923690289259</v>
      </c>
      <c r="I39" s="64"/>
      <c r="J39" s="53">
        <f t="shared" si="3"/>
        <v>977</v>
      </c>
      <c r="K39" s="53">
        <f t="shared" si="14"/>
        <v>-2</v>
      </c>
      <c r="L39" s="51">
        <f t="shared" si="15"/>
        <v>272.42593721566084</v>
      </c>
      <c r="M39" s="54">
        <f t="shared" si="4"/>
        <v>3.1746031746031744E-2</v>
      </c>
      <c r="N39" s="55">
        <f t="shared" si="1"/>
        <v>1.986488584234031</v>
      </c>
      <c r="O39" s="55">
        <f t="shared" si="5"/>
        <v>0.97651045041699258</v>
      </c>
      <c r="P39" s="55">
        <f t="shared" si="6"/>
        <v>1.9419450439152937</v>
      </c>
      <c r="Q39" s="55">
        <f t="shared" si="7"/>
        <v>0.97392812319764488</v>
      </c>
      <c r="R39" s="56">
        <f t="shared" si="8"/>
        <v>0.48954958300737417</v>
      </c>
      <c r="T39" s="58"/>
      <c r="U39" s="65">
        <v>132.92320354145289</v>
      </c>
      <c r="W39" s="221">
        <v>-0.4628782335203141</v>
      </c>
      <c r="X39" s="66">
        <f t="shared" si="9"/>
        <v>136.21296860783042</v>
      </c>
      <c r="Y39" s="67">
        <f t="shared" si="16"/>
        <v>-7.0912342849184309E-3</v>
      </c>
    </row>
    <row r="40" spans="1:25" x14ac:dyDescent="0.2">
      <c r="A40" s="46">
        <v>28</v>
      </c>
      <c r="B40" s="53">
        <f t="shared" si="10"/>
        <v>977</v>
      </c>
      <c r="C40" s="63">
        <f t="shared" si="11"/>
        <v>-1000</v>
      </c>
      <c r="D40" s="51">
        <f t="shared" si="17"/>
        <v>-57896.557663493251</v>
      </c>
      <c r="E40" s="48">
        <f t="shared" si="2"/>
        <v>136.31282356785852</v>
      </c>
      <c r="F40" s="49">
        <f t="shared" si="0"/>
        <v>11.520254065231299</v>
      </c>
      <c r="G40" s="51">
        <f t="shared" si="12"/>
        <v>63760.816897073222</v>
      </c>
      <c r="H40" s="51">
        <f t="shared" si="13"/>
        <v>63779.577112946477</v>
      </c>
      <c r="I40" s="64"/>
      <c r="J40" s="53">
        <f t="shared" si="3"/>
        <v>984</v>
      </c>
      <c r="K40" s="53">
        <f t="shared" si="14"/>
        <v>7</v>
      </c>
      <c r="L40" s="51">
        <f t="shared" si="15"/>
        <v>-954.18976497500967</v>
      </c>
      <c r="M40" s="54">
        <f t="shared" si="4"/>
        <v>2.7777777777777776E-2</v>
      </c>
      <c r="N40" s="55">
        <f t="shared" si="1"/>
        <v>2.1334949957347606</v>
      </c>
      <c r="O40" s="55">
        <f t="shared" si="5"/>
        <v>0.98355792913299367</v>
      </c>
      <c r="P40" s="55">
        <f t="shared" si="6"/>
        <v>2.0918283290680941</v>
      </c>
      <c r="Q40" s="55">
        <f t="shared" si="7"/>
        <v>0.98177306238936568</v>
      </c>
      <c r="R40" s="56">
        <f t="shared" si="8"/>
        <v>0.44207086700635045</v>
      </c>
      <c r="T40" s="58"/>
      <c r="U40" s="65">
        <v>134.23781610444993</v>
      </c>
      <c r="W40" s="221">
        <v>3.3933247323147953E-2</v>
      </c>
      <c r="X40" s="66">
        <f t="shared" si="9"/>
        <v>136.31282356785852</v>
      </c>
      <c r="Y40" s="67">
        <f t="shared" si="16"/>
        <v>7.3281111266216311E-4</v>
      </c>
    </row>
    <row r="41" spans="1:25" x14ac:dyDescent="0.2">
      <c r="A41" s="46">
        <v>29</v>
      </c>
      <c r="B41" s="53">
        <f t="shared" si="10"/>
        <v>984</v>
      </c>
      <c r="C41" s="63">
        <f t="shared" si="11"/>
        <v>-1000</v>
      </c>
      <c r="D41" s="51">
        <f t="shared" si="17"/>
        <v>-58862.425322552073</v>
      </c>
      <c r="E41" s="48">
        <f t="shared" si="2"/>
        <v>140.8165650519642</v>
      </c>
      <c r="F41" s="49">
        <f t="shared" si="0"/>
        <v>15.966559688901043</v>
      </c>
      <c r="G41" s="51">
        <f t="shared" si="12"/>
        <v>63734.514999679646</v>
      </c>
      <c r="H41" s="51">
        <f t="shared" si="13"/>
        <v>63792.233046452515</v>
      </c>
      <c r="I41" s="64"/>
      <c r="J41" s="53">
        <f t="shared" si="3"/>
        <v>999</v>
      </c>
      <c r="K41" s="53">
        <f t="shared" si="14"/>
        <v>15</v>
      </c>
      <c r="L41" s="51">
        <f t="shared" si="15"/>
        <v>-2112.2484757794632</v>
      </c>
      <c r="M41" s="54">
        <f t="shared" si="4"/>
        <v>2.3809523809523808E-2</v>
      </c>
      <c r="N41" s="55">
        <f t="shared" si="1"/>
        <v>3.1387231154097464</v>
      </c>
      <c r="O41" s="55">
        <f t="shared" si="5"/>
        <v>0.99915157149587763</v>
      </c>
      <c r="P41" s="55">
        <f t="shared" si="6"/>
        <v>3.1001472779192234</v>
      </c>
      <c r="Q41" s="55">
        <f t="shared" si="7"/>
        <v>0.9990328778072769</v>
      </c>
      <c r="R41" s="56">
        <f t="shared" si="8"/>
        <v>-0.15157149587764707</v>
      </c>
      <c r="T41" s="58"/>
      <c r="U41" s="65">
        <v>135.86957320600501</v>
      </c>
      <c r="W41" s="221">
        <v>2.0514471543719992</v>
      </c>
      <c r="X41" s="66">
        <f t="shared" si="9"/>
        <v>140.8165650519642</v>
      </c>
      <c r="Y41" s="67">
        <f t="shared" si="16"/>
        <v>3.2505668640433201E-2</v>
      </c>
    </row>
    <row r="42" spans="1:25" x14ac:dyDescent="0.2">
      <c r="A42" s="46">
        <v>30</v>
      </c>
      <c r="B42" s="53">
        <f t="shared" si="10"/>
        <v>999</v>
      </c>
      <c r="C42" s="63">
        <f t="shared" si="11"/>
        <v>-1000</v>
      </c>
      <c r="D42" s="51">
        <f t="shared" si="17"/>
        <v>-60986.773148187334</v>
      </c>
      <c r="E42" s="48">
        <f t="shared" si="2"/>
        <v>140.45249428771504</v>
      </c>
      <c r="F42" s="49">
        <f t="shared" si="0"/>
        <v>15.576954055151148</v>
      </c>
      <c r="G42" s="51">
        <f t="shared" si="12"/>
        <v>63748.314590088834</v>
      </c>
      <c r="H42" s="51">
        <f t="shared" si="13"/>
        <v>63804.891491305607</v>
      </c>
      <c r="I42" s="64"/>
      <c r="J42" s="53">
        <f t="shared" si="3"/>
        <v>1000</v>
      </c>
      <c r="K42" s="53">
        <f t="shared" si="14"/>
        <v>1</v>
      </c>
      <c r="L42" s="51">
        <f t="shared" si="15"/>
        <v>-140.45249428771504</v>
      </c>
      <c r="M42" s="54">
        <f t="shared" si="4"/>
        <v>1.984126984126984E-2</v>
      </c>
      <c r="N42" s="55">
        <f t="shared" si="1"/>
        <v>3.3556291868252108</v>
      </c>
      <c r="O42" s="55">
        <f t="shared" si="5"/>
        <v>0.99960407668299334</v>
      </c>
      <c r="P42" s="55">
        <f t="shared" si="6"/>
        <v>3.3204144262115225</v>
      </c>
      <c r="Q42" s="55">
        <f t="shared" si="7"/>
        <v>0.99955058044927114</v>
      </c>
      <c r="R42" s="56">
        <f t="shared" si="8"/>
        <v>0.39592331700669092</v>
      </c>
      <c r="T42" s="58"/>
      <c r="U42" s="65">
        <v>132.44683018580909</v>
      </c>
      <c r="W42" s="221">
        <v>-0.17698084775474854</v>
      </c>
      <c r="X42" s="66">
        <f t="shared" si="9"/>
        <v>140.45249428771504</v>
      </c>
      <c r="Y42" s="67">
        <f t="shared" si="16"/>
        <v>-2.5887736705186401E-3</v>
      </c>
    </row>
    <row r="43" spans="1:25" x14ac:dyDescent="0.2">
      <c r="A43" s="46">
        <v>31</v>
      </c>
      <c r="B43" s="53">
        <f t="shared" si="10"/>
        <v>1000</v>
      </c>
      <c r="C43" s="63">
        <f t="shared" si="11"/>
        <v>-1000</v>
      </c>
      <c r="D43" s="51">
        <f t="shared" si="17"/>
        <v>-61139.355263556885</v>
      </c>
      <c r="E43" s="48">
        <f t="shared" si="2"/>
        <v>137.80364041318094</v>
      </c>
      <c r="F43" s="49">
        <f t="shared" si="0"/>
        <v>12.903829694532433</v>
      </c>
      <c r="G43" s="51">
        <f t="shared" si="12"/>
        <v>63760.455455091629</v>
      </c>
      <c r="H43" s="51">
        <f t="shared" si="13"/>
        <v>63817.552448004084</v>
      </c>
      <c r="I43" s="64"/>
      <c r="J43" s="53">
        <f t="shared" si="3"/>
        <v>999</v>
      </c>
      <c r="K43" s="53">
        <f t="shared" si="14"/>
        <v>-1</v>
      </c>
      <c r="L43" s="51">
        <f t="shared" si="15"/>
        <v>137.80364041318094</v>
      </c>
      <c r="M43" s="54">
        <f t="shared" si="4"/>
        <v>1.5873015873015872E-2</v>
      </c>
      <c r="N43" s="55">
        <f t="shared" si="1"/>
        <v>3.1369844083200604</v>
      </c>
      <c r="O43" s="55">
        <f t="shared" si="5"/>
        <v>0.99914652397842052</v>
      </c>
      <c r="P43" s="55">
        <f t="shared" si="6"/>
        <v>3.105487368902625</v>
      </c>
      <c r="Q43" s="55">
        <f t="shared" si="7"/>
        <v>0.99905017132989948</v>
      </c>
      <c r="R43" s="56">
        <f t="shared" si="8"/>
        <v>-0.14652397842053233</v>
      </c>
      <c r="T43" s="58"/>
      <c r="U43" s="65">
        <v>131.10981930684929</v>
      </c>
      <c r="W43" s="221">
        <v>-1.2215718925290275</v>
      </c>
      <c r="X43" s="66">
        <f t="shared" si="9"/>
        <v>137.80364041318094</v>
      </c>
      <c r="Y43" s="67">
        <f t="shared" si="16"/>
        <v>-1.9039536326696527E-2</v>
      </c>
    </row>
    <row r="44" spans="1:25" x14ac:dyDescent="0.2">
      <c r="A44" s="46">
        <v>32</v>
      </c>
      <c r="B44" s="53">
        <f t="shared" si="10"/>
        <v>999</v>
      </c>
      <c r="C44" s="63">
        <f t="shared" si="11"/>
        <v>-1000</v>
      </c>
      <c r="D44" s="51">
        <f t="shared" si="17"/>
        <v>-61013.656306430341</v>
      </c>
      <c r="E44" s="48">
        <f t="shared" si="2"/>
        <v>139.24765982831494</v>
      </c>
      <c r="F44" s="49">
        <f t="shared" si="0"/>
        <v>14.322070658653843</v>
      </c>
      <c r="G44" s="51">
        <f t="shared" si="12"/>
        <v>63772.685203402441</v>
      </c>
      <c r="H44" s="51">
        <f t="shared" si="13"/>
        <v>63830.215917046371</v>
      </c>
      <c r="I44" s="64"/>
      <c r="J44" s="53">
        <f t="shared" si="3"/>
        <v>1000</v>
      </c>
      <c r="K44" s="53">
        <f t="shared" si="14"/>
        <v>1</v>
      </c>
      <c r="L44" s="51">
        <f t="shared" si="15"/>
        <v>-139.24765982831494</v>
      </c>
      <c r="M44" s="54">
        <f t="shared" si="4"/>
        <v>1.1904761904761904E-2</v>
      </c>
      <c r="N44" s="55">
        <f t="shared" si="1"/>
        <v>3.9926184827151285</v>
      </c>
      <c r="O44" s="55">
        <f t="shared" si="5"/>
        <v>0.9999673261686518</v>
      </c>
      <c r="P44" s="55">
        <f t="shared" si="6"/>
        <v>3.9653412464356297</v>
      </c>
      <c r="Q44" s="55">
        <f t="shared" si="7"/>
        <v>0.9999633544907407</v>
      </c>
      <c r="R44" s="56">
        <f t="shared" si="8"/>
        <v>3.2673831348233762E-2</v>
      </c>
      <c r="T44" s="58"/>
      <c r="U44" s="65">
        <v>129.37171417931734</v>
      </c>
      <c r="W44" s="221">
        <v>0.64932351051538717</v>
      </c>
      <c r="X44" s="66">
        <f t="shared" si="9"/>
        <v>139.24765982831494</v>
      </c>
      <c r="Y44" s="67">
        <f t="shared" si="16"/>
        <v>1.0424296801098163E-2</v>
      </c>
    </row>
    <row r="45" spans="1:25" x14ac:dyDescent="0.2">
      <c r="A45" s="46">
        <v>33</v>
      </c>
      <c r="B45" s="53">
        <f t="shared" si="10"/>
        <v>1000</v>
      </c>
      <c r="C45" s="63">
        <f t="shared" si="11"/>
        <v>-1000</v>
      </c>
      <c r="D45" s="51">
        <f t="shared" si="17"/>
        <v>-61165.038682751489</v>
      </c>
      <c r="E45" s="48">
        <f t="shared" si="2"/>
        <v>135.00568210929157</v>
      </c>
      <c r="F45" s="49">
        <f t="shared" si="0"/>
        <v>10.055462050459795</v>
      </c>
      <c r="G45" s="51">
        <f t="shared" si="12"/>
        <v>63785.181376080291</v>
      </c>
      <c r="H45" s="51">
        <f t="shared" si="13"/>
        <v>63842.881898931002</v>
      </c>
      <c r="I45" s="64"/>
      <c r="J45" s="53">
        <f t="shared" si="3"/>
        <v>1000</v>
      </c>
      <c r="K45" s="53">
        <f t="shared" si="14"/>
        <v>0</v>
      </c>
      <c r="L45" s="51">
        <f t="shared" si="15"/>
        <v>0</v>
      </c>
      <c r="M45" s="54">
        <f t="shared" si="4"/>
        <v>7.9365079365079361E-3</v>
      </c>
      <c r="N45" s="55">
        <f t="shared" si="1"/>
        <v>3.4863852609405734</v>
      </c>
      <c r="O45" s="55">
        <f t="shared" si="5"/>
        <v>0.99975520232116066</v>
      </c>
      <c r="P45" s="55">
        <f t="shared" si="6"/>
        <v>3.4641134907812048</v>
      </c>
      <c r="Q45" s="55">
        <f t="shared" si="7"/>
        <v>0.99973400899076381</v>
      </c>
      <c r="R45" s="56">
        <f t="shared" si="8"/>
        <v>0.24479767883929071</v>
      </c>
      <c r="T45" s="58"/>
      <c r="U45" s="65">
        <v>127.76455596821476</v>
      </c>
      <c r="W45" s="221">
        <v>-1.9770504877669737</v>
      </c>
      <c r="X45" s="66">
        <f t="shared" si="9"/>
        <v>135.00568210929157</v>
      </c>
      <c r="Y45" s="67">
        <f t="shared" si="16"/>
        <v>-3.0937205873315755E-2</v>
      </c>
    </row>
    <row r="46" spans="1:25" x14ac:dyDescent="0.2">
      <c r="A46" s="46">
        <v>34</v>
      </c>
      <c r="B46" s="53">
        <f t="shared" si="10"/>
        <v>1000</v>
      </c>
      <c r="C46" s="63">
        <f t="shared" si="11"/>
        <v>-1000</v>
      </c>
      <c r="D46" s="51">
        <f t="shared" si="17"/>
        <v>-61177.175807165033</v>
      </c>
      <c r="E46" s="48">
        <f t="shared" si="2"/>
        <v>135.33370658571747</v>
      </c>
      <c r="F46" s="49">
        <f t="shared" si="0"/>
        <v>10.358505793574807</v>
      </c>
      <c r="G46" s="51">
        <f t="shared" si="12"/>
        <v>63798.024984977637</v>
      </c>
      <c r="H46" s="51">
        <f t="shared" si="13"/>
        <v>63855.550394156613</v>
      </c>
      <c r="I46" s="64"/>
      <c r="J46" s="53">
        <f t="shared" si="3"/>
        <v>1000</v>
      </c>
      <c r="K46" s="53">
        <f t="shared" si="14"/>
        <v>0</v>
      </c>
      <c r="L46" s="51">
        <f t="shared" si="15"/>
        <v>0</v>
      </c>
      <c r="M46" s="54">
        <f t="shared" si="4"/>
        <v>3.968253968253968E-3</v>
      </c>
      <c r="N46" s="55">
        <f t="shared" si="1"/>
        <v>5.0641148349221723</v>
      </c>
      <c r="O46" s="55">
        <f t="shared" si="5"/>
        <v>0.99999979484886081</v>
      </c>
      <c r="P46" s="55">
        <f t="shared" si="6"/>
        <v>5.0483663152134541</v>
      </c>
      <c r="Q46" s="55">
        <f t="shared" si="7"/>
        <v>0.99999977719794142</v>
      </c>
      <c r="R46" s="56">
        <f t="shared" si="8"/>
        <v>2.0515113919827854E-4</v>
      </c>
      <c r="T46" s="58"/>
      <c r="U46" s="65">
        <v>128.80100544313868</v>
      </c>
      <c r="W46" s="221">
        <v>0.14149577509670053</v>
      </c>
      <c r="X46" s="66">
        <f t="shared" si="9"/>
        <v>135.33370658571747</v>
      </c>
      <c r="Y46" s="67">
        <f t="shared" si="16"/>
        <v>2.4267617012233554E-3</v>
      </c>
    </row>
    <row r="47" spans="1:25" ht="17" thickBot="1" x14ac:dyDescent="0.25">
      <c r="A47" s="68">
        <v>35</v>
      </c>
      <c r="B47" s="69">
        <f t="shared" si="10"/>
        <v>1000</v>
      </c>
      <c r="C47" s="70">
        <f t="shared" si="11"/>
        <v>-1000</v>
      </c>
      <c r="D47" s="71">
        <f t="shared" si="17"/>
        <v>-61189.315339977104</v>
      </c>
      <c r="E47" s="72">
        <f t="shared" si="2"/>
        <v>135.97130808688377</v>
      </c>
      <c r="F47" s="73">
        <f>IF(E47&gt;F4,E47-F4,0)</f>
        <v>10.971308086883766</v>
      </c>
      <c r="G47" s="71">
        <f t="shared" si="12"/>
        <v>63810.684660022896</v>
      </c>
      <c r="H47" s="71">
        <f t="shared" si="13"/>
        <v>63868.221403221927</v>
      </c>
      <c r="I47" s="74"/>
      <c r="J47" s="69">
        <f>J46</f>
        <v>1000</v>
      </c>
      <c r="K47" s="69">
        <f t="shared" si="14"/>
        <v>0</v>
      </c>
      <c r="L47" s="71">
        <f t="shared" si="15"/>
        <v>0</v>
      </c>
      <c r="M47" s="75">
        <f t="shared" si="4"/>
        <v>0</v>
      </c>
      <c r="N47" s="76" t="s">
        <v>59</v>
      </c>
      <c r="O47" s="76" t="s">
        <v>59</v>
      </c>
      <c r="P47" s="76" t="s">
        <v>59</v>
      </c>
      <c r="Q47" s="77" t="s">
        <v>59</v>
      </c>
      <c r="R47" s="78" t="s">
        <v>59</v>
      </c>
      <c r="T47" s="58"/>
      <c r="U47" s="79">
        <v>126.2489448053477</v>
      </c>
      <c r="W47" s="221">
        <v>0.28585873224074021</v>
      </c>
      <c r="X47" s="66">
        <f t="shared" si="9"/>
        <v>135.97130808688377</v>
      </c>
      <c r="Y47" s="67">
        <f t="shared" si="16"/>
        <v>4.7002645770151726E-3</v>
      </c>
    </row>
  </sheetData>
  <mergeCells count="7">
    <mergeCell ref="A1:R1"/>
    <mergeCell ref="D3:F3"/>
    <mergeCell ref="H3:J3"/>
    <mergeCell ref="T4:U4"/>
    <mergeCell ref="X4:Y4"/>
    <mergeCell ref="L4:M5"/>
    <mergeCell ref="W2:X2"/>
  </mergeCells>
  <conditionalFormatting sqref="X13:Y47">
    <cfRule type="notContainsBlanks" dxfId="0" priority="1">
      <formula>LEN(TRIM(X13))&gt;0</formula>
    </cfRule>
  </conditionalFormatting>
  <dataValidations count="1">
    <dataValidation type="list" allowBlank="1" showInputMessage="1" showErrorMessage="1" sqref="E11" xr:uid="{00000000-0002-0000-0400-000000000000}">
      <formula1>"Original,Simulated"</formula1>
    </dataValidation>
  </dataValidations>
  <printOptions headings="1" gridLines="1"/>
  <pageMargins left="0.7" right="0.7" top="0.75" bottom="0.75" header="0.3" footer="0.3"/>
  <pageSetup scale="42" orientation="landscape" r:id="rId1"/>
  <ignoredErrors>
    <ignoredError sqref="P12:P13 P14:P46 X5:X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10</xdr:col>
                    <xdr:colOff>1308100</xdr:colOff>
                    <xdr:row>2</xdr:row>
                    <xdr:rowOff>177800</xdr:rowOff>
                  </from>
                  <to>
                    <xdr:col>13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American Call</vt:lpstr>
      <vt:lpstr>American Put</vt:lpstr>
      <vt:lpstr>Black-Scholes-Merton</vt:lpstr>
      <vt:lpstr>Hedge</vt:lpstr>
      <vt:lpstr>d</vt:lpstr>
      <vt:lpstr>d_put</vt:lpstr>
      <vt:lpstr>delta_t</vt:lpstr>
      <vt:lpstr>delta_t1</vt:lpstr>
      <vt:lpstr>InitialStockPrice</vt:lpstr>
      <vt:lpstr>K</vt:lpstr>
      <vt:lpstr>Mean</vt:lpstr>
      <vt:lpstr>Nd</vt:lpstr>
      <vt:lpstr>Pd</vt:lpstr>
      <vt:lpstr>Pd_1</vt:lpstr>
      <vt:lpstr>Pu</vt:lpstr>
      <vt:lpstr>Pu_1</vt:lpstr>
      <vt:lpstr>q</vt:lpstr>
      <vt:lpstr>r_f</vt:lpstr>
      <vt:lpstr>r_f1</vt:lpstr>
      <vt:lpstr>rf</vt:lpstr>
      <vt:lpstr>RiskFree</vt:lpstr>
      <vt:lpstr>S0</vt:lpstr>
      <vt:lpstr>Sigma</vt:lpstr>
      <vt:lpstr>Sigma_hedge</vt:lpstr>
      <vt:lpstr>StockPrice</vt:lpstr>
      <vt:lpstr>Stockprice_Put</vt:lpstr>
      <vt:lpstr>StrikePrice</vt:lpstr>
      <vt:lpstr>T</vt:lpstr>
      <vt:lpstr>u</vt:lpstr>
      <vt:lpstr>u_put</vt:lpstr>
    </vt:vector>
  </TitlesOfParts>
  <Company>UW-Milwaukee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McBain</dc:creator>
  <cp:lastModifiedBy>Pavitra Gajanana</cp:lastModifiedBy>
  <cp:lastPrinted>2014-04-22T21:28:09Z</cp:lastPrinted>
  <dcterms:created xsi:type="dcterms:W3CDTF">2001-11-05T17:31:05Z</dcterms:created>
  <dcterms:modified xsi:type="dcterms:W3CDTF">2021-02-02T15:44:59Z</dcterms:modified>
</cp:coreProperties>
</file>