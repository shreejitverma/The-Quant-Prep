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5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avitragajanana/My Files/Development/5. Financial Modeling/"/>
    </mc:Choice>
  </mc:AlternateContent>
  <xr:revisionPtr revIDLastSave="0" documentId="13_ncr:1_{9C6B473B-8513-F84E-944E-6F74D6E7670A}" xr6:coauthVersionLast="36" xr6:coauthVersionMax="36" xr10:uidLastSave="{00000000-0000-0000-0000-000000000000}"/>
  <bookViews>
    <workbookView xWindow="860" yWindow="460" windowWidth="27940" windowHeight="16200" xr2:uid="{00000000-000D-0000-FFFF-FFFF00000000}"/>
  </bookViews>
  <sheets>
    <sheet name="NAL Analysis" sheetId="1" r:id="rId1"/>
    <sheet name="Leveraged Lease" sheetId="2" r:id="rId2"/>
  </sheets>
  <functionGroups builtInGroupCount="19"/>
  <definedNames>
    <definedName name="Annual_Lease_pmt">'Leveraged Lease'!$B$8</definedName>
    <definedName name="Cost_Of_Asset">'Leveraged Lease'!$B$3</definedName>
    <definedName name="Debt">'Leveraged Lease'!$B$6</definedName>
    <definedName name="Equipment_Cost">'NAL Analysis'!$B$7</definedName>
    <definedName name="Equity">'Leveraged Lease'!$B$5</definedName>
    <definedName name="Federal_Tax_Rate">'NAL Analysis'!$B$5</definedName>
    <definedName name="Lease_Payment">'NAL Analysis'!$B$10</definedName>
    <definedName name="Lease_Term">'NAL Analysis'!$B$11</definedName>
    <definedName name="Length_Of_Lease">'Leveraged Lease'!$B$4</definedName>
    <definedName name="Pretax_Interest_Rate">'Leveraged Lease'!$B$7</definedName>
    <definedName name="Pretax_Rate">'NAL Analysis'!$B$6</definedName>
    <definedName name="Residual_Value">'NAL Analysis'!$B$12</definedName>
    <definedName name="Salvage_Value">'Leveraged Lease'!$B$10</definedName>
    <definedName name="Shipping_Charges">'NAL Analysis'!$B$8</definedName>
    <definedName name="solver_adj" localSheetId="1" hidden="1">'Leveraged Lease'!$B$8</definedName>
    <definedName name="solver_adj" localSheetId="0" hidden="1">'NAL Analysis'!$B$6</definedName>
    <definedName name="solver_cvg" localSheetId="1" hidden="1">0.0001</definedName>
    <definedName name="solver_cvg" localSheetId="0" hidden="1">0.0001</definedName>
    <definedName name="solver_drv" localSheetId="1" hidden="1">1</definedName>
    <definedName name="solver_drv" localSheetId="0" hidden="1">1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est" localSheetId="0" hidden="1">1</definedName>
    <definedName name="solver_itr" localSheetId="1" hidden="1">100</definedName>
    <definedName name="solver_itr" localSheetId="0" hidden="1">100</definedName>
    <definedName name="solver_lin" localSheetId="1" hidden="1">2</definedName>
    <definedName name="solver_lin" localSheetId="0" hidden="1">2</definedName>
    <definedName name="solver_mip" localSheetId="1" hidden="1">2147483647</definedName>
    <definedName name="solver_mip" localSheetId="0" hidden="1">2147483647</definedName>
    <definedName name="solver_mni" localSheetId="1" hidden="1">30</definedName>
    <definedName name="solver_mni" localSheetId="0" hidden="1">30</definedName>
    <definedName name="solver_mrt" localSheetId="1" hidden="1">0.075</definedName>
    <definedName name="solver_mrt" localSheetId="0" hidden="1">0.075</definedName>
    <definedName name="solver_msl" localSheetId="1" hidden="1">2</definedName>
    <definedName name="solver_msl" localSheetId="0" hidden="1">2</definedName>
    <definedName name="solver_neg" localSheetId="1" hidden="1">1</definedName>
    <definedName name="solver_neg" localSheetId="0" hidden="1">2</definedName>
    <definedName name="solver_nod" localSheetId="1" hidden="1">2147483647</definedName>
    <definedName name="solver_nod" localSheetId="0" hidden="1">2147483647</definedName>
    <definedName name="solver_num" localSheetId="1" hidden="1">0</definedName>
    <definedName name="solver_num" localSheetId="0" hidden="1">0</definedName>
    <definedName name="solver_nwt" localSheetId="1" hidden="1">1</definedName>
    <definedName name="solver_nwt" localSheetId="0" hidden="1">1</definedName>
    <definedName name="solver_opt" localSheetId="1" hidden="1">'Leveraged Lease'!$I$28</definedName>
    <definedName name="solver_opt" localSheetId="0" hidden="1">'NAL Analysis'!$H$35</definedName>
    <definedName name="solver_pre" localSheetId="1" hidden="1">0.000001</definedName>
    <definedName name="solver_pre" localSheetId="0" hidden="1">0.000001</definedName>
    <definedName name="solver_rbv" localSheetId="1" hidden="1">1</definedName>
    <definedName name="solver_rbv" localSheetId="0" hidden="1">1</definedName>
    <definedName name="solver_rlx" localSheetId="1" hidden="1">1</definedName>
    <definedName name="solver_rlx" localSheetId="0" hidden="1">1</definedName>
    <definedName name="solver_rsd" localSheetId="1" hidden="1">0</definedName>
    <definedName name="solver_rsd" localSheetId="0" hidden="1">0</definedName>
    <definedName name="solver_scl" localSheetId="1" hidden="1">2</definedName>
    <definedName name="solver_scl" localSheetId="0" hidden="1">2</definedName>
    <definedName name="solver_sho" localSheetId="1" hidden="1">2</definedName>
    <definedName name="solver_sho" localSheetId="0" hidden="1">2</definedName>
    <definedName name="solver_ssz" localSheetId="1" hidden="1">100</definedName>
    <definedName name="solver_ssz" localSheetId="0" hidden="1">100</definedName>
    <definedName name="solver_tim" localSheetId="1" hidden="1">100</definedName>
    <definedName name="solver_tim" localSheetId="0" hidden="1">100</definedName>
    <definedName name="solver_tol" localSheetId="1" hidden="1">0.05</definedName>
    <definedName name="solver_tol" localSheetId="0" hidden="1">0.05</definedName>
    <definedName name="solver_typ" localSheetId="1" hidden="1">3</definedName>
    <definedName name="solver_typ" localSheetId="0" hidden="1">3</definedName>
    <definedName name="solver_val" localSheetId="1" hidden="1">0</definedName>
    <definedName name="solver_val" localSheetId="0" hidden="1">0</definedName>
    <definedName name="solver_ver" localSheetId="1" hidden="1">2</definedName>
    <definedName name="solver_ver" localSheetId="0" hidden="1">2</definedName>
    <definedName name="Tax_Rate">'Leveraged Lease'!$B$9</definedName>
    <definedName name="Total_Cost">'NAL Analysis'!$B$9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3" i="2" l="1"/>
  <c r="B13" i="2"/>
  <c r="C14" i="2"/>
  <c r="B6" i="2"/>
  <c r="F14" i="2" s="1"/>
  <c r="B9" i="1"/>
  <c r="E19" i="1"/>
  <c r="F19" i="1" s="1"/>
  <c r="C15" i="2"/>
  <c r="E20" i="1"/>
  <c r="F20" i="1" s="1"/>
  <c r="D15" i="2" s="1"/>
  <c r="C16" i="2"/>
  <c r="E21" i="1"/>
  <c r="F21" i="1" s="1"/>
  <c r="C17" i="2"/>
  <c r="E22" i="1"/>
  <c r="F22" i="1" s="1"/>
  <c r="D17" i="2" s="1"/>
  <c r="C18" i="2"/>
  <c r="E23" i="1"/>
  <c r="F23" i="1" s="1"/>
  <c r="D18" i="2" s="1"/>
  <c r="C19" i="2"/>
  <c r="E24" i="1"/>
  <c r="F24" i="1" s="1"/>
  <c r="C20" i="2"/>
  <c r="G20" i="2"/>
  <c r="C21" i="2"/>
  <c r="C22" i="2"/>
  <c r="C23" i="2"/>
  <c r="G23" i="2"/>
  <c r="C24" i="2"/>
  <c r="B35" i="2"/>
  <c r="B29" i="2"/>
  <c r="B31" i="2" s="1"/>
  <c r="B36" i="2" s="1"/>
  <c r="B30" i="2"/>
  <c r="B48" i="1"/>
  <c r="B42" i="1"/>
  <c r="B47" i="1"/>
  <c r="J55" i="1"/>
  <c r="J56" i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53" i="1"/>
  <c r="J52" i="1" s="1"/>
  <c r="J51" i="1" s="1"/>
  <c r="J50" i="1" s="1"/>
  <c r="J49" i="1" s="1"/>
  <c r="J48" i="1" s="1"/>
  <c r="J47" i="1" s="1"/>
  <c r="J46" i="1" s="1"/>
  <c r="J45" i="1" s="1"/>
  <c r="J44" i="1" s="1"/>
  <c r="B19" i="1"/>
  <c r="C19" i="1"/>
  <c r="B20" i="1"/>
  <c r="C20" i="1"/>
  <c r="B21" i="1"/>
  <c r="C21" i="1"/>
  <c r="B22" i="1"/>
  <c r="C22" i="1"/>
  <c r="B23" i="1"/>
  <c r="C23" i="1"/>
  <c r="B24" i="1"/>
  <c r="C24" i="1"/>
  <c r="B25" i="1"/>
  <c r="C25" i="1"/>
  <c r="B26" i="1"/>
  <c r="C26" i="1"/>
  <c r="B27" i="1"/>
  <c r="C27" i="1"/>
  <c r="B28" i="1"/>
  <c r="C28" i="1"/>
  <c r="B29" i="1"/>
  <c r="C29" i="1"/>
  <c r="B30" i="1"/>
  <c r="C30" i="1"/>
  <c r="G30" i="1"/>
  <c r="G31" i="1" s="1"/>
  <c r="I19" i="1"/>
  <c r="I20" i="1"/>
  <c r="I21" i="1"/>
  <c r="I22" i="1"/>
  <c r="I23" i="1"/>
  <c r="I24" i="1"/>
  <c r="I25" i="1"/>
  <c r="I26" i="1"/>
  <c r="I27" i="1"/>
  <c r="I28" i="1"/>
  <c r="I29" i="1"/>
  <c r="I18" i="1"/>
  <c r="B34" i="2"/>
  <c r="G25" i="2" l="1"/>
  <c r="F24" i="2"/>
  <c r="F21" i="2"/>
  <c r="F18" i="2"/>
  <c r="E14" i="2"/>
  <c r="F22" i="2"/>
  <c r="H22" i="2" s="1"/>
  <c r="I22" i="2" s="1"/>
  <c r="G21" i="2"/>
  <c r="F16" i="2"/>
  <c r="F25" i="2"/>
  <c r="H25" i="2" s="1"/>
  <c r="F23" i="2"/>
  <c r="H23" i="2" s="1"/>
  <c r="I23" i="2" s="1"/>
  <c r="G22" i="2"/>
  <c r="H28" i="1"/>
  <c r="H25" i="1"/>
  <c r="F17" i="2"/>
  <c r="H29" i="1"/>
  <c r="I33" i="1"/>
  <c r="I13" i="2"/>
  <c r="H27" i="1"/>
  <c r="G24" i="2"/>
  <c r="H24" i="2" s="1"/>
  <c r="I24" i="2" s="1"/>
  <c r="F20" i="2"/>
  <c r="H20" i="2" s="1"/>
  <c r="I20" i="2" s="1"/>
  <c r="F19" i="2"/>
  <c r="F15" i="2"/>
  <c r="G14" i="2"/>
  <c r="H14" i="2" s="1"/>
  <c r="H26" i="1"/>
  <c r="H20" i="1"/>
  <c r="H30" i="1"/>
  <c r="H19" i="1"/>
  <c r="I31" i="1"/>
  <c r="H22" i="1"/>
  <c r="F31" i="1"/>
  <c r="D14" i="2"/>
  <c r="H24" i="1"/>
  <c r="D19" i="2"/>
  <c r="H23" i="1"/>
  <c r="B37" i="2"/>
  <c r="D16" i="2"/>
  <c r="H21" i="1"/>
  <c r="B31" i="1"/>
  <c r="E31" i="1"/>
  <c r="B43" i="1" s="1"/>
  <c r="B44" i="1" s="1"/>
  <c r="B49" i="1" s="1"/>
  <c r="B50" i="1" s="1"/>
  <c r="G19" i="2"/>
  <c r="H19" i="2" s="1"/>
  <c r="G18" i="2"/>
  <c r="H18" i="2" s="1"/>
  <c r="G17" i="2"/>
  <c r="H17" i="2" s="1"/>
  <c r="G16" i="2"/>
  <c r="G15" i="2"/>
  <c r="H21" i="2" l="1"/>
  <c r="I21" i="2" s="1"/>
  <c r="H16" i="2"/>
  <c r="H33" i="1"/>
  <c r="F43" i="1" s="1"/>
  <c r="H31" i="1"/>
  <c r="I14" i="2"/>
  <c r="E15" i="2"/>
  <c r="I16" i="2"/>
  <c r="I19" i="2"/>
  <c r="B51" i="1"/>
  <c r="B52" i="1" s="1"/>
  <c r="H15" i="2"/>
  <c r="I15" i="2" s="1"/>
  <c r="B38" i="2"/>
  <c r="B39" i="2" s="1"/>
  <c r="C25" i="2" s="1"/>
  <c r="I25" i="2" s="1"/>
  <c r="I17" i="2"/>
  <c r="I18" i="2"/>
  <c r="K43" i="1" l="1"/>
  <c r="H35" i="1"/>
  <c r="H37" i="1" s="1"/>
  <c r="E34" i="2"/>
  <c r="I28" i="2"/>
  <c r="I30" i="2"/>
  <c r="H34" i="2"/>
  <c r="E16" i="2"/>
  <c r="E17" i="2" s="1"/>
  <c r="E18" i="2" s="1"/>
  <c r="E19" i="2" s="1"/>
  <c r="E20" i="2" s="1"/>
  <c r="E21" i="2" s="1"/>
  <c r="E22" i="2" s="1"/>
  <c r="E23" i="2" s="1"/>
  <c r="E24" i="2" s="1"/>
  <c r="E25" i="2" s="1"/>
</calcChain>
</file>

<file path=xl/sharedStrings.xml><?xml version="1.0" encoding="utf-8"?>
<sst xmlns="http://schemas.openxmlformats.org/spreadsheetml/2006/main" count="81" uniqueCount="63">
  <si>
    <t>Inputs</t>
  </si>
  <si>
    <t xml:space="preserve">Tax rate = </t>
  </si>
  <si>
    <t xml:space="preserve">Pretax interest rate = </t>
  </si>
  <si>
    <t xml:space="preserve">Equipment cost = </t>
  </si>
  <si>
    <t xml:space="preserve">Lease payment = </t>
  </si>
  <si>
    <t>Year</t>
  </si>
  <si>
    <t>Interest Payment After-tax</t>
  </si>
  <si>
    <t>Principal Payment</t>
  </si>
  <si>
    <t>Five-Year MACRS Depr. Rate</t>
  </si>
  <si>
    <t>Depr. Before Tax</t>
  </si>
  <si>
    <t>Depr. Tax Savings</t>
  </si>
  <si>
    <t>Residual Cash Flow after Tax</t>
  </si>
  <si>
    <t>Loan Cash Outflow</t>
  </si>
  <si>
    <t>Lease Cash Outflow</t>
  </si>
  <si>
    <t xml:space="preserve">Residual cash flow = </t>
  </si>
  <si>
    <t xml:space="preserve">Residual value (%) = </t>
  </si>
  <si>
    <t>Calculation of Tax Expense</t>
  </si>
  <si>
    <t xml:space="preserve">Market value = </t>
  </si>
  <si>
    <t xml:space="preserve">Less: Net book value = </t>
  </si>
  <si>
    <t xml:space="preserve">Gain on sale = </t>
  </si>
  <si>
    <t>Calculation of Net Book Value</t>
  </si>
  <si>
    <t xml:space="preserve">Net book value = </t>
  </si>
  <si>
    <t xml:space="preserve">NPV = </t>
  </si>
  <si>
    <t>End of Year</t>
  </si>
  <si>
    <t xml:space="preserve">Tax on gain = </t>
  </si>
  <si>
    <t>Interest</t>
  </si>
  <si>
    <t>Equity Invested</t>
  </si>
  <si>
    <t>Depreciation</t>
  </si>
  <si>
    <t>Principal at start of year</t>
  </si>
  <si>
    <t>Loan payment</t>
  </si>
  <si>
    <t>Repayment of principal</t>
  </si>
  <si>
    <t>Cash flow to equity</t>
  </si>
  <si>
    <t xml:space="preserve">Lease term = </t>
  </si>
  <si>
    <t xml:space="preserve">IRR of cash flows = </t>
  </si>
  <si>
    <t xml:space="preserve">NPV of Cash Flow to Equity = </t>
  </si>
  <si>
    <t xml:space="preserve">Check sums = </t>
  </si>
  <si>
    <t>Orion's Lease vs. Borrow to Buy Analysis</t>
  </si>
  <si>
    <t>Arcturus's Leveraged Lease Analysis</t>
  </si>
  <si>
    <t xml:space="preserve">Net Advantage to Leasing (NAL) = </t>
  </si>
  <si>
    <t xml:space="preserve">Shipping &amp; setup = </t>
  </si>
  <si>
    <t xml:space="preserve">Invoice cost of equipment = </t>
  </si>
  <si>
    <t>IRR at Various Equity Levels</t>
  </si>
  <si>
    <t>Net Advantage to Leasing at Various Lease Payments</t>
  </si>
  <si>
    <t>NPV of Cash Flow to Equity at Various Levels of the Lease Payment</t>
  </si>
  <si>
    <t xml:space="preserve">Accumulated depreciation = </t>
  </si>
  <si>
    <t>Lease Revenue or Salvage</t>
  </si>
  <si>
    <t xml:space="preserve">Cost of asset = </t>
  </si>
  <si>
    <t xml:space="preserve">Lease term (years) = </t>
  </si>
  <si>
    <t xml:space="preserve">Equity ($ amount) = </t>
  </si>
  <si>
    <t xml:space="preserve">Debt ($ amount) = </t>
  </si>
  <si>
    <t xml:space="preserve">Interest rate = </t>
  </si>
  <si>
    <t xml:space="preserve">Annual lease payment received = </t>
  </si>
  <si>
    <t>Net Advantage to Leasing at different Pretax Interest Rate levels</t>
  </si>
  <si>
    <t>* Better to Lease when NAL &gt; 0</t>
  </si>
  <si>
    <t>Maximum lease payment Orion is willing to make through the leasing arrangement with Arcturus</t>
  </si>
  <si>
    <t>Minimum lease payment that Arcturus will accept, for base case scenario</t>
  </si>
  <si>
    <t>Results (Using Datatable &amp; Solver)</t>
  </si>
  <si>
    <t>* Better to Own when NAL &lt; 0</t>
  </si>
  <si>
    <t xml:space="preserve">Orion should </t>
  </si>
  <si>
    <t>the equpment</t>
  </si>
  <si>
    <t xml:space="preserve">Decision </t>
  </si>
  <si>
    <t>Pretax Interest Rate beyond which Orion should consider Leasing ( Any pretax Rate less than this, Orion should consider purchase of equipment)</t>
  </si>
  <si>
    <t xml:space="preserve"> Minimum Level of equity investment recommended for Arcturus, for the base case 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</si>
</sst>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(&quot;$&quot;* #,##0_);_(&quot;$&quot;* \(#,##0\);_(&quot;$&quot;* &quot;-&quot;??_);_(@_)"/>
    <numFmt numFmtId="166" formatCode="0.0%"/>
    <numFmt numFmtId="167" formatCode="_(&quot;$&quot;* #,##0.000_);_(&quot;$&quot;* \(#,##0.000\);_(&quot;$&quot;* &quot;-&quot;??_);_(@_)"/>
    <numFmt numFmtId="168" formatCode="_-&quot;$&quot;* #,##0.0_-;\-&quot;$&quot;* #,##0.0_-;_-&quot;$&quot;* &quot;-&quot;??_-;_-@_-"/>
  </numFmts>
  <fonts count="1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10"/>
      <color rgb="FFFF0000"/>
      <name val="Arial"/>
      <family val="2"/>
    </font>
    <font>
      <sz val="10"/>
      <color rgb="FF0000FF"/>
      <name val="Arial"/>
      <family val="2"/>
    </font>
    <font>
      <sz val="10"/>
      <color indexed="12"/>
      <name val="Arial"/>
      <family val="2"/>
    </font>
    <font>
      <b/>
      <sz val="10"/>
      <color theme="1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theme="1"/>
      <name val="Arial"/>
      <family val="2"/>
    </font>
    <font>
      <b/>
      <i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8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231">
    <xf numFmtId="0" fontId="0" fillId="0" borderId="0" xfId="0"/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3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10" fontId="0" fillId="0" borderId="0" xfId="0" applyNumberFormat="1"/>
    <xf numFmtId="165" fontId="0" fillId="0" borderId="0" xfId="2" applyNumberFormat="1" applyFont="1"/>
    <xf numFmtId="0" fontId="0" fillId="0" borderId="0" xfId="0" applyFill="1"/>
    <xf numFmtId="0" fontId="1" fillId="0" borderId="0" xfId="0" applyFont="1" applyFill="1" applyAlignment="1">
      <alignment horizontal="right"/>
    </xf>
    <xf numFmtId="10" fontId="0" fillId="0" borderId="0" xfId="0" applyNumberFormat="1" applyFill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 applyBorder="1"/>
    <xf numFmtId="0" fontId="6" fillId="0" borderId="0" xfId="0" applyFont="1" applyFill="1" applyBorder="1" applyAlignment="1">
      <alignment horizontal="right"/>
    </xf>
    <xf numFmtId="44" fontId="0" fillId="0" borderId="0" xfId="2" applyFont="1" applyFill="1" applyBorder="1"/>
    <xf numFmtId="44" fontId="0" fillId="0" borderId="0" xfId="0" applyNumberFormat="1" applyFill="1" applyBorder="1"/>
    <xf numFmtId="0" fontId="0" fillId="0" borderId="0" xfId="0" applyFill="1" applyBorder="1" applyAlignment="1">
      <alignment horizontal="right"/>
    </xf>
    <xf numFmtId="165" fontId="0" fillId="0" borderId="0" xfId="2" applyNumberFormat="1" applyFont="1" applyFill="1" applyBorder="1"/>
    <xf numFmtId="165" fontId="0" fillId="0" borderId="0" xfId="0" applyNumberFormat="1" applyFill="1" applyBorder="1"/>
    <xf numFmtId="10" fontId="4" fillId="0" borderId="0" xfId="3" applyNumberFormat="1" applyFont="1" applyFill="1" applyBorder="1"/>
    <xf numFmtId="0" fontId="1" fillId="0" borderId="0" xfId="0" applyNumberFormat="1" applyFont="1" applyAlignment="1">
      <alignment horizontal="right"/>
    </xf>
    <xf numFmtId="0" fontId="0" fillId="0" borderId="0" xfId="0" applyNumberFormat="1" applyAlignment="1">
      <alignment horizontal="center"/>
    </xf>
    <xf numFmtId="0" fontId="0" fillId="0" borderId="0" xfId="0" applyNumberFormat="1"/>
    <xf numFmtId="9" fontId="4" fillId="0" borderId="0" xfId="3" applyFont="1" applyFill="1" applyBorder="1"/>
    <xf numFmtId="166" fontId="4" fillId="0" borderId="0" xfId="3" applyNumberFormat="1" applyFont="1" applyFill="1" applyBorder="1"/>
    <xf numFmtId="164" fontId="4" fillId="0" borderId="0" xfId="2" applyNumberFormat="1" applyFont="1" applyFill="1" applyBorder="1"/>
    <xf numFmtId="44" fontId="4" fillId="0" borderId="0" xfId="2" applyFont="1" applyFill="1" applyBorder="1"/>
    <xf numFmtId="0" fontId="4" fillId="0" borderId="0" xfId="1" applyNumberFormat="1" applyFont="1" applyFill="1" applyBorder="1"/>
    <xf numFmtId="167" fontId="4" fillId="0" borderId="0" xfId="2" applyNumberFormat="1" applyFont="1" applyFill="1" applyBorder="1"/>
    <xf numFmtId="0" fontId="0" fillId="0" borderId="4" xfId="0" applyNumberFormat="1" applyFill="1" applyBorder="1"/>
    <xf numFmtId="0" fontId="0" fillId="0" borderId="7" xfId="0" applyNumberFormat="1" applyFill="1" applyBorder="1"/>
    <xf numFmtId="0" fontId="0" fillId="0" borderId="7" xfId="0" applyFill="1" applyBorder="1"/>
    <xf numFmtId="44" fontId="0" fillId="0" borderId="7" xfId="2" applyFont="1" applyFill="1" applyBorder="1"/>
    <xf numFmtId="44" fontId="0" fillId="0" borderId="4" xfId="2" applyNumberFormat="1" applyFont="1" applyFill="1" applyBorder="1"/>
    <xf numFmtId="164" fontId="0" fillId="0" borderId="7" xfId="0" applyNumberFormat="1" applyFill="1" applyBorder="1"/>
    <xf numFmtId="164" fontId="0" fillId="0" borderId="7" xfId="2" applyNumberFormat="1" applyFont="1" applyFill="1" applyBorder="1"/>
    <xf numFmtId="165" fontId="4" fillId="0" borderId="7" xfId="3" applyNumberFormat="1" applyFont="1" applyFill="1" applyBorder="1"/>
    <xf numFmtId="0" fontId="0" fillId="0" borderId="7" xfId="2" applyNumberFormat="1" applyFont="1" applyFill="1" applyBorder="1"/>
    <xf numFmtId="165" fontId="4" fillId="0" borderId="8" xfId="3" applyNumberFormat="1" applyFont="1" applyFill="1" applyBorder="1"/>
    <xf numFmtId="0" fontId="0" fillId="0" borderId="8" xfId="0" applyNumberFormat="1" applyFill="1" applyBorder="1"/>
    <xf numFmtId="0" fontId="0" fillId="0" borderId="8" xfId="2" applyNumberFormat="1" applyFont="1" applyFill="1" applyBorder="1"/>
    <xf numFmtId="44" fontId="0" fillId="0" borderId="8" xfId="2" applyFont="1" applyFill="1" applyBorder="1"/>
    <xf numFmtId="0" fontId="0" fillId="0" borderId="7" xfId="2" applyNumberFormat="1" applyFont="1" applyFill="1" applyBorder="1" applyAlignment="1">
      <alignment horizontal="center"/>
    </xf>
    <xf numFmtId="164" fontId="0" fillId="0" borderId="7" xfId="2" applyNumberFormat="1" applyFont="1" applyFill="1" applyBorder="1" applyAlignment="1">
      <alignment horizontal="center"/>
    </xf>
    <xf numFmtId="0" fontId="0" fillId="0" borderId="0" xfId="0" applyNumberFormat="1" applyFill="1" applyAlignment="1">
      <alignment horizontal="center"/>
    </xf>
    <xf numFmtId="0" fontId="0" fillId="0" borderId="0" xfId="2" applyNumberFormat="1" applyFont="1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44" fontId="0" fillId="0" borderId="3" xfId="2" applyNumberFormat="1" applyFont="1" applyFill="1" applyBorder="1" applyAlignment="1">
      <alignment horizontal="center"/>
    </xf>
    <xf numFmtId="0" fontId="0" fillId="0" borderId="3" xfId="2" applyNumberFormat="1" applyFont="1" applyFill="1" applyBorder="1" applyAlignment="1">
      <alignment horizontal="center"/>
    </xf>
    <xf numFmtId="0" fontId="0" fillId="0" borderId="4" xfId="2" applyNumberFormat="1" applyFont="1" applyFill="1" applyBorder="1" applyAlignment="1">
      <alignment horizontal="center"/>
    </xf>
    <xf numFmtId="0" fontId="0" fillId="0" borderId="18" xfId="0" applyFill="1" applyBorder="1" applyAlignment="1">
      <alignment horizontal="right"/>
    </xf>
    <xf numFmtId="44" fontId="0" fillId="0" borderId="19" xfId="2" applyNumberFormat="1" applyFont="1" applyFill="1" applyBorder="1"/>
    <xf numFmtId="0" fontId="1" fillId="0" borderId="18" xfId="0" applyFont="1" applyFill="1" applyBorder="1" applyAlignment="1">
      <alignment horizontal="right"/>
    </xf>
    <xf numFmtId="44" fontId="0" fillId="0" borderId="20" xfId="2" applyNumberFormat="1" applyFont="1" applyFill="1" applyBorder="1"/>
    <xf numFmtId="0" fontId="0" fillId="0" borderId="21" xfId="0" applyFill="1" applyBorder="1" applyAlignment="1">
      <alignment horizontal="right"/>
    </xf>
    <xf numFmtId="164" fontId="0" fillId="0" borderId="22" xfId="0" applyNumberFormat="1" applyFill="1" applyBorder="1"/>
    <xf numFmtId="44" fontId="0" fillId="0" borderId="19" xfId="0" applyNumberFormat="1" applyFill="1" applyBorder="1"/>
    <xf numFmtId="44" fontId="0" fillId="0" borderId="19" xfId="2" applyFont="1" applyFill="1" applyBorder="1"/>
    <xf numFmtId="164" fontId="0" fillId="0" borderId="20" xfId="0" applyNumberFormat="1" applyFill="1" applyBorder="1"/>
    <xf numFmtId="0" fontId="6" fillId="0" borderId="18" xfId="0" applyFont="1" applyFill="1" applyBorder="1" applyAlignment="1">
      <alignment horizontal="right"/>
    </xf>
    <xf numFmtId="44" fontId="0" fillId="0" borderId="22" xfId="0" applyNumberFormat="1" applyFill="1" applyBorder="1"/>
    <xf numFmtId="44" fontId="9" fillId="0" borderId="0" xfId="2" applyNumberFormat="1" applyFont="1" applyFill="1"/>
    <xf numFmtId="44" fontId="0" fillId="0" borderId="6" xfId="2" applyNumberFormat="1" applyFont="1" applyFill="1" applyBorder="1"/>
    <xf numFmtId="168" fontId="0" fillId="0" borderId="2" xfId="0" applyNumberFormat="1" applyFill="1" applyBorder="1"/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10" fontId="0" fillId="0" borderId="4" xfId="3" applyNumberFormat="1" applyFont="1" applyFill="1" applyBorder="1" applyAlignment="1">
      <alignment horizontal="right"/>
    </xf>
    <xf numFmtId="10" fontId="0" fillId="0" borderId="6" xfId="3" applyNumberFormat="1" applyFont="1" applyFill="1" applyBorder="1" applyAlignment="1">
      <alignment horizontal="right"/>
    </xf>
    <xf numFmtId="10" fontId="3" fillId="0" borderId="0" xfId="0" applyNumberFormat="1" applyFont="1" applyFill="1" applyAlignment="1">
      <alignment horizontal="right"/>
    </xf>
    <xf numFmtId="9" fontId="0" fillId="0" borderId="0" xfId="0" applyNumberFormat="1"/>
    <xf numFmtId="0" fontId="0" fillId="0" borderId="2" xfId="0" applyBorder="1"/>
    <xf numFmtId="10" fontId="0" fillId="0" borderId="0" xfId="3" applyNumberFormat="1" applyFont="1"/>
    <xf numFmtId="166" fontId="0" fillId="0" borderId="0" xfId="0" applyNumberFormat="1"/>
    <xf numFmtId="44" fontId="0" fillId="0" borderId="0" xfId="2" applyFont="1"/>
    <xf numFmtId="44" fontId="0" fillId="0" borderId="4" xfId="2" applyFont="1" applyBorder="1"/>
    <xf numFmtId="44" fontId="0" fillId="0" borderId="6" xfId="2" applyFont="1" applyBorder="1"/>
    <xf numFmtId="44" fontId="0" fillId="0" borderId="0" xfId="2" applyNumberFormat="1" applyFont="1" applyFill="1" applyBorder="1"/>
    <xf numFmtId="0" fontId="0" fillId="0" borderId="0" xfId="0" applyBorder="1"/>
    <xf numFmtId="0" fontId="1" fillId="0" borderId="23" xfId="0" applyFont="1" applyFill="1" applyBorder="1" applyAlignment="1">
      <alignment horizontal="right"/>
    </xf>
    <xf numFmtId="164" fontId="11" fillId="0" borderId="19" xfId="3" applyNumberFormat="1" applyFont="1" applyFill="1" applyBorder="1"/>
    <xf numFmtId="10" fontId="11" fillId="0" borderId="19" xfId="3" applyNumberFormat="1" applyFont="1" applyFill="1" applyBorder="1"/>
    <xf numFmtId="44" fontId="0" fillId="0" borderId="19" xfId="2" applyFont="1" applyFill="1" applyBorder="1" applyAlignment="1">
      <alignment horizontal="right"/>
    </xf>
    <xf numFmtId="10" fontId="11" fillId="0" borderId="25" xfId="3" applyNumberFormat="1" applyFont="1" applyFill="1" applyBorder="1"/>
    <xf numFmtId="0" fontId="3" fillId="0" borderId="26" xfId="0" applyFont="1" applyFill="1" applyBorder="1" applyAlignment="1">
      <alignment horizontal="center" vertical="center" wrapText="1"/>
    </xf>
    <xf numFmtId="0" fontId="3" fillId="0" borderId="27" xfId="0" applyFont="1" applyFill="1" applyBorder="1" applyAlignment="1">
      <alignment horizontal="center" vertical="center" wrapText="1"/>
    </xf>
    <xf numFmtId="0" fontId="3" fillId="0" borderId="28" xfId="0" applyFont="1" applyFill="1" applyBorder="1" applyAlignment="1">
      <alignment horizontal="center" vertical="center" wrapText="1"/>
    </xf>
    <xf numFmtId="0" fontId="3" fillId="0" borderId="29" xfId="0" applyFont="1" applyFill="1" applyBorder="1" applyAlignment="1">
      <alignment horizontal="center" vertical="center" wrapText="1"/>
    </xf>
    <xf numFmtId="0" fontId="3" fillId="0" borderId="30" xfId="0" applyFont="1" applyFill="1" applyBorder="1" applyAlignment="1">
      <alignment horizontal="center" vertical="center" wrapText="1"/>
    </xf>
    <xf numFmtId="0" fontId="0" fillId="0" borderId="31" xfId="0" applyFill="1" applyBorder="1" applyAlignment="1">
      <alignment horizontal="center"/>
    </xf>
    <xf numFmtId="44" fontId="0" fillId="0" borderId="32" xfId="2" applyNumberFormat="1" applyFont="1" applyFill="1" applyBorder="1" applyAlignment="1">
      <alignment horizontal="center"/>
    </xf>
    <xf numFmtId="44" fontId="0" fillId="0" borderId="32" xfId="2" applyFon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4" xfId="2" applyNumberFormat="1" applyFont="1" applyFill="1" applyBorder="1" applyAlignment="1">
      <alignment horizontal="center"/>
    </xf>
    <xf numFmtId="44" fontId="0" fillId="0" borderId="35" xfId="2" applyFont="1" applyBorder="1"/>
    <xf numFmtId="0" fontId="0" fillId="0" borderId="36" xfId="2" applyNumberFormat="1" applyFont="1" applyFill="1" applyBorder="1" applyAlignment="1">
      <alignment horizontal="center"/>
    </xf>
    <xf numFmtId="44" fontId="0" fillId="0" borderId="37" xfId="2" applyFont="1" applyFill="1" applyBorder="1" applyAlignment="1">
      <alignment horizontal="center"/>
    </xf>
    <xf numFmtId="0" fontId="0" fillId="0" borderId="0" xfId="0" applyFont="1"/>
    <xf numFmtId="10" fontId="3" fillId="0" borderId="10" xfId="0" applyNumberFormat="1" applyFont="1" applyFill="1" applyBorder="1" applyAlignment="1">
      <alignment horizontal="right"/>
    </xf>
    <xf numFmtId="10" fontId="0" fillId="0" borderId="2" xfId="3" applyNumberFormat="1" applyFont="1" applyFill="1" applyBorder="1" applyAlignment="1">
      <alignment horizontal="center"/>
    </xf>
    <xf numFmtId="164" fontId="11" fillId="0" borderId="24" xfId="3" applyNumberFormat="1" applyFont="1" applyFill="1" applyBorder="1"/>
    <xf numFmtId="167" fontId="0" fillId="0" borderId="0" xfId="2" applyNumberFormat="1" applyFont="1"/>
    <xf numFmtId="44" fontId="3" fillId="0" borderId="0" xfId="2" applyFont="1" applyFill="1" applyBorder="1" applyAlignment="1">
      <alignment horizontal="center"/>
    </xf>
    <xf numFmtId="44" fontId="0" fillId="0" borderId="0" xfId="2" applyFont="1" applyBorder="1" applyAlignment="1">
      <alignment horizontal="right"/>
    </xf>
    <xf numFmtId="10" fontId="3" fillId="0" borderId="0" xfId="0" applyNumberFormat="1" applyFont="1" applyFill="1" applyBorder="1" applyAlignment="1">
      <alignment horizontal="right"/>
    </xf>
    <xf numFmtId="165" fontId="10" fillId="0" borderId="0" xfId="2" applyNumberFormat="1" applyFont="1" applyFill="1" applyBorder="1"/>
    <xf numFmtId="10" fontId="0" fillId="0" borderId="0" xfId="3" applyNumberFormat="1" applyFont="1" applyBorder="1"/>
    <xf numFmtId="9" fontId="10" fillId="0" borderId="0" xfId="3" applyFont="1" applyFill="1" applyBorder="1" applyAlignment="1">
      <alignment horizontal="right"/>
    </xf>
    <xf numFmtId="166" fontId="10" fillId="0" borderId="0" xfId="3" applyNumberFormat="1" applyFont="1" applyFill="1" applyBorder="1" applyAlignment="1">
      <alignment horizontal="right"/>
    </xf>
    <xf numFmtId="44" fontId="0" fillId="0" borderId="0" xfId="2" applyFont="1" applyBorder="1"/>
    <xf numFmtId="44" fontId="3" fillId="0" borderId="10" xfId="0" applyNumberFormat="1" applyFont="1" applyBorder="1"/>
    <xf numFmtId="0" fontId="0" fillId="0" borderId="0" xfId="0" applyAlignment="1">
      <alignment horizontal="center"/>
    </xf>
    <xf numFmtId="44" fontId="3" fillId="0" borderId="49" xfId="2" applyFont="1" applyFill="1" applyBorder="1" applyAlignment="1">
      <alignment horizontal="center"/>
    </xf>
    <xf numFmtId="10" fontId="3" fillId="0" borderId="49" xfId="0" applyNumberFormat="1" applyFont="1" applyFill="1" applyBorder="1" applyAlignment="1">
      <alignment horizontal="right"/>
    </xf>
    <xf numFmtId="164" fontId="11" fillId="0" borderId="11" xfId="3" applyNumberFormat="1" applyFont="1" applyFill="1" applyBorder="1"/>
    <xf numFmtId="164" fontId="11" fillId="0" borderId="7" xfId="3" applyNumberFormat="1" applyFont="1" applyFill="1" applyBorder="1"/>
    <xf numFmtId="164" fontId="11" fillId="0" borderId="8" xfId="3" applyNumberFormat="1" applyFont="1" applyFill="1" applyBorder="1"/>
    <xf numFmtId="166" fontId="11" fillId="0" borderId="7" xfId="3" applyNumberFormat="1" applyFont="1" applyFill="1" applyBorder="1"/>
    <xf numFmtId="0" fontId="8" fillId="2" borderId="47" xfId="0" applyNumberFormat="1" applyFont="1" applyFill="1" applyBorder="1" applyAlignment="1">
      <alignment horizontal="right"/>
    </xf>
    <xf numFmtId="0" fontId="8" fillId="2" borderId="50" xfId="0" applyNumberFormat="1" applyFont="1" applyFill="1" applyBorder="1" applyAlignment="1">
      <alignment horizontal="center"/>
    </xf>
    <xf numFmtId="0" fontId="8" fillId="2" borderId="51" xfId="0" applyNumberFormat="1" applyFont="1" applyFill="1" applyBorder="1" applyAlignment="1">
      <alignment horizontal="left"/>
    </xf>
    <xf numFmtId="44" fontId="3" fillId="0" borderId="51" xfId="0" applyNumberFormat="1" applyFont="1" applyBorder="1"/>
    <xf numFmtId="0" fontId="16" fillId="0" borderId="46" xfId="0" applyFont="1" applyBorder="1" applyAlignment="1">
      <alignment horizontal="left"/>
    </xf>
    <xf numFmtId="0" fontId="0" fillId="0" borderId="52" xfId="0" applyFill="1" applyBorder="1" applyAlignment="1">
      <alignment horizontal="center"/>
    </xf>
    <xf numFmtId="44" fontId="0" fillId="0" borderId="32" xfId="2" applyFont="1" applyFill="1" applyBorder="1"/>
    <xf numFmtId="0" fontId="0" fillId="0" borderId="53" xfId="0" applyFill="1" applyBorder="1" applyAlignment="1">
      <alignment horizontal="center"/>
    </xf>
    <xf numFmtId="0" fontId="0" fillId="0" borderId="54" xfId="2" applyNumberFormat="1" applyFont="1" applyFill="1" applyBorder="1"/>
    <xf numFmtId="0" fontId="1" fillId="0" borderId="33" xfId="0" applyFont="1" applyFill="1" applyBorder="1" applyAlignment="1">
      <alignment horizontal="right"/>
    </xf>
    <xf numFmtId="44" fontId="3" fillId="0" borderId="45" xfId="2" applyNumberFormat="1" applyFont="1" applyFill="1" applyBorder="1"/>
    <xf numFmtId="0" fontId="0" fillId="0" borderId="45" xfId="2" applyNumberFormat="1" applyFont="1" applyFill="1" applyBorder="1"/>
    <xf numFmtId="10" fontId="0" fillId="0" borderId="35" xfId="3" applyNumberFormat="1" applyFont="1" applyFill="1" applyBorder="1"/>
    <xf numFmtId="164" fontId="0" fillId="0" borderId="35" xfId="0" applyNumberFormat="1" applyFill="1" applyBorder="1"/>
    <xf numFmtId="164" fontId="6" fillId="0" borderId="35" xfId="0" applyNumberFormat="1" applyFont="1" applyFill="1" applyBorder="1" applyAlignment="1">
      <alignment horizontal="center"/>
    </xf>
    <xf numFmtId="44" fontId="6" fillId="0" borderId="35" xfId="0" applyNumberFormat="1" applyFont="1" applyFill="1" applyBorder="1" applyAlignment="1">
      <alignment horizontal="center"/>
    </xf>
    <xf numFmtId="44" fontId="6" fillId="0" borderId="45" xfId="0" applyNumberFormat="1" applyFont="1" applyFill="1" applyBorder="1" applyAlignment="1">
      <alignment horizontal="center"/>
    </xf>
    <xf numFmtId="44" fontId="6" fillId="0" borderId="37" xfId="0" applyNumberFormat="1" applyFont="1" applyFill="1" applyBorder="1" applyAlignment="1">
      <alignment horizontal="center"/>
    </xf>
    <xf numFmtId="0" fontId="0" fillId="0" borderId="41" xfId="0" applyFill="1" applyBorder="1" applyAlignment="1">
      <alignment horizontal="right"/>
    </xf>
    <xf numFmtId="44" fontId="1" fillId="0" borderId="19" xfId="2" applyFont="1" applyFill="1" applyBorder="1"/>
    <xf numFmtId="44" fontId="0" fillId="0" borderId="42" xfId="2" applyFont="1" applyFill="1" applyBorder="1"/>
    <xf numFmtId="44" fontId="0" fillId="0" borderId="54" xfId="2" applyFont="1" applyFill="1" applyBorder="1"/>
    <xf numFmtId="44" fontId="0" fillId="0" borderId="55" xfId="2" applyFont="1" applyFill="1" applyBorder="1"/>
    <xf numFmtId="0" fontId="0" fillId="0" borderId="52" xfId="0" applyFill="1" applyBorder="1" applyAlignment="1">
      <alignment horizontal="right"/>
    </xf>
    <xf numFmtId="0" fontId="1" fillId="0" borderId="31" xfId="0" applyFont="1" applyFill="1" applyBorder="1" applyAlignment="1">
      <alignment horizontal="right"/>
    </xf>
    <xf numFmtId="0" fontId="0" fillId="0" borderId="33" xfId="0" applyFill="1" applyBorder="1" applyAlignment="1">
      <alignment horizontal="right"/>
    </xf>
    <xf numFmtId="1" fontId="11" fillId="0" borderId="19" xfId="3" applyNumberFormat="1" applyFont="1" applyFill="1" applyBorder="1" applyAlignment="1">
      <alignment horizontal="right"/>
    </xf>
    <xf numFmtId="44" fontId="0" fillId="0" borderId="7" xfId="2" applyFont="1" applyFill="1" applyBorder="1" applyAlignment="1">
      <alignment horizontal="center"/>
    </xf>
    <xf numFmtId="44" fontId="0" fillId="0" borderId="35" xfId="2" applyFont="1" applyFill="1" applyBorder="1" applyAlignment="1">
      <alignment horizontal="center"/>
    </xf>
    <xf numFmtId="10" fontId="0" fillId="0" borderId="0" xfId="3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wrapText="1"/>
    </xf>
    <xf numFmtId="166" fontId="11" fillId="0" borderId="8" xfId="3" applyNumberFormat="1" applyFont="1" applyFill="1" applyBorder="1"/>
    <xf numFmtId="0" fontId="11" fillId="0" borderId="19" xfId="1" applyNumberFormat="1" applyFont="1" applyFill="1" applyBorder="1"/>
    <xf numFmtId="0" fontId="0" fillId="0" borderId="2" xfId="0" applyFill="1" applyBorder="1"/>
    <xf numFmtId="44" fontId="3" fillId="0" borderId="10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7" xfId="0" applyBorder="1" applyAlignment="1">
      <alignment horizontal="left"/>
    </xf>
    <xf numFmtId="0" fontId="0" fillId="0" borderId="48" xfId="0" applyBorder="1" applyAlignment="1">
      <alignment horizontal="left"/>
    </xf>
    <xf numFmtId="0" fontId="3" fillId="0" borderId="9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44" fontId="12" fillId="0" borderId="40" xfId="2" applyFont="1" applyFill="1" applyBorder="1" applyAlignment="1">
      <alignment horizontal="left"/>
    </xf>
    <xf numFmtId="0" fontId="3" fillId="3" borderId="16" xfId="0" applyFont="1" applyFill="1" applyBorder="1" applyAlignment="1">
      <alignment horizontal="center"/>
    </xf>
    <xf numFmtId="0" fontId="3" fillId="3" borderId="38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0" fillId="0" borderId="41" xfId="0" applyBorder="1" applyAlignment="1">
      <alignment horizontal="left" wrapText="1"/>
    </xf>
    <xf numFmtId="0" fontId="0" fillId="0" borderId="14" xfId="0" applyBorder="1" applyAlignment="1">
      <alignment horizontal="left" wrapText="1"/>
    </xf>
    <xf numFmtId="0" fontId="0" fillId="0" borderId="15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21" xfId="0" applyBorder="1" applyAlignment="1">
      <alignment horizontal="left" wrapText="1"/>
    </xf>
    <xf numFmtId="0" fontId="0" fillId="0" borderId="43" xfId="0" applyBorder="1" applyAlignment="1">
      <alignment horizontal="left" wrapText="1"/>
    </xf>
    <xf numFmtId="0" fontId="0" fillId="0" borderId="36" xfId="0" applyBorder="1" applyAlignment="1">
      <alignment horizontal="left" wrapText="1"/>
    </xf>
    <xf numFmtId="10" fontId="3" fillId="0" borderId="42" xfId="0" applyNumberFormat="1" applyFont="1" applyBorder="1" applyAlignment="1">
      <alignment horizontal="center"/>
    </xf>
    <xf numFmtId="10" fontId="3" fillId="0" borderId="32" xfId="0" applyNumberFormat="1" applyFont="1" applyBorder="1" applyAlignment="1">
      <alignment horizontal="center"/>
    </xf>
    <xf numFmtId="10" fontId="3" fillId="0" borderId="37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0" fillId="0" borderId="28" xfId="0" applyFill="1" applyBorder="1" applyAlignment="1">
      <alignment horizontal="center" wrapText="1"/>
    </xf>
    <xf numFmtId="0" fontId="0" fillId="0" borderId="2" xfId="0" applyFill="1" applyBorder="1" applyAlignment="1">
      <alignment horizontal="center" wrapText="1"/>
    </xf>
    <xf numFmtId="0" fontId="0" fillId="0" borderId="2" xfId="0" applyFill="1" applyBorder="1" applyAlignment="1">
      <alignment wrapText="1"/>
    </xf>
    <xf numFmtId="0" fontId="0" fillId="0" borderId="30" xfId="0" applyFill="1" applyBorder="1" applyAlignment="1">
      <alignment horizontal="center" wrapText="1"/>
    </xf>
    <xf numFmtId="0" fontId="0" fillId="0" borderId="40" xfId="0" applyFill="1" applyBorder="1" applyAlignment="1">
      <alignment horizontal="center" wrapText="1"/>
    </xf>
    <xf numFmtId="0" fontId="0" fillId="0" borderId="40" xfId="0" applyFill="1" applyBorder="1" applyAlignment="1">
      <alignment wrapText="1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6" fillId="0" borderId="26" xfId="0" applyFont="1" applyFill="1" applyBorder="1" applyAlignment="1">
      <alignment horizontal="center" wrapText="1"/>
    </xf>
    <xf numFmtId="0" fontId="0" fillId="0" borderId="39" xfId="0" applyFill="1" applyBorder="1" applyAlignment="1">
      <alignment horizontal="center" wrapText="1"/>
    </xf>
    <xf numFmtId="0" fontId="0" fillId="0" borderId="39" xfId="0" applyFill="1" applyBorder="1" applyAlignment="1">
      <alignment wrapText="1"/>
    </xf>
    <xf numFmtId="0" fontId="0" fillId="0" borderId="0" xfId="0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0" fontId="15" fillId="0" borderId="41" xfId="0" applyFont="1" applyBorder="1" applyAlignment="1">
      <alignment horizontal="left" wrapText="1"/>
    </xf>
    <xf numFmtId="0" fontId="15" fillId="0" borderId="14" xfId="0" applyFont="1" applyBorder="1" applyAlignment="1">
      <alignment horizontal="left" wrapText="1"/>
    </xf>
    <xf numFmtId="0" fontId="15" fillId="0" borderId="15" xfId="0" applyFont="1" applyBorder="1" applyAlignment="1">
      <alignment horizontal="left" wrapText="1"/>
    </xf>
    <xf numFmtId="0" fontId="15" fillId="0" borderId="18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15" fillId="0" borderId="4" xfId="0" applyFont="1" applyBorder="1" applyAlignment="1">
      <alignment horizontal="left" wrapText="1"/>
    </xf>
    <xf numFmtId="0" fontId="15" fillId="0" borderId="44" xfId="0" applyFont="1" applyBorder="1" applyAlignment="1">
      <alignment horizontal="left" wrapText="1"/>
    </xf>
    <xf numFmtId="0" fontId="15" fillId="0" borderId="1" xfId="0" applyFont="1" applyBorder="1" applyAlignment="1">
      <alignment horizontal="left" wrapText="1"/>
    </xf>
    <xf numFmtId="0" fontId="15" fillId="0" borderId="6" xfId="0" applyFont="1" applyBorder="1" applyAlignment="1">
      <alignment horizontal="left" wrapText="1"/>
    </xf>
    <xf numFmtId="0" fontId="3" fillId="0" borderId="0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1" fillId="0" borderId="47" xfId="0" applyFont="1" applyFill="1" applyBorder="1" applyAlignment="1">
      <alignment horizontal="center"/>
    </xf>
    <xf numFmtId="0" fontId="1" fillId="0" borderId="48" xfId="0" applyFont="1" applyFill="1" applyBorder="1" applyAlignment="1">
      <alignment horizontal="center"/>
    </xf>
    <xf numFmtId="3" fontId="1" fillId="0" borderId="47" xfId="0" applyNumberFormat="1" applyFont="1" applyBorder="1" applyAlignment="1">
      <alignment horizontal="center"/>
    </xf>
    <xf numFmtId="3" fontId="1" fillId="0" borderId="48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15" fillId="0" borderId="39" xfId="0" applyFont="1" applyBorder="1" applyAlignment="1">
      <alignment horizontal="left" wrapText="1"/>
    </xf>
    <xf numFmtId="0" fontId="15" fillId="0" borderId="2" xfId="0" applyFont="1" applyBorder="1" applyAlignment="1">
      <alignment horizontal="left" wrapText="1"/>
    </xf>
    <xf numFmtId="44" fontId="12" fillId="0" borderId="40" xfId="2" applyFont="1" applyFill="1" applyBorder="1" applyAlignment="1">
      <alignment horizontal="center"/>
    </xf>
    <xf numFmtId="0" fontId="0" fillId="0" borderId="41" xfId="0" applyFont="1" applyBorder="1" applyAlignment="1">
      <alignment horizontal="left" wrapText="1"/>
    </xf>
    <xf numFmtId="0" fontId="0" fillId="0" borderId="14" xfId="0" applyFont="1" applyBorder="1" applyAlignment="1">
      <alignment horizontal="left" wrapText="1"/>
    </xf>
    <xf numFmtId="0" fontId="0" fillId="0" borderId="15" xfId="0" applyFont="1" applyBorder="1" applyAlignment="1">
      <alignment horizontal="left" wrapText="1"/>
    </xf>
    <xf numFmtId="0" fontId="0" fillId="0" borderId="21" xfId="0" applyFont="1" applyBorder="1" applyAlignment="1">
      <alignment horizontal="left" wrapText="1"/>
    </xf>
    <xf numFmtId="0" fontId="0" fillId="0" borderId="43" xfId="0" applyFont="1" applyBorder="1" applyAlignment="1">
      <alignment horizontal="left" wrapText="1"/>
    </xf>
    <xf numFmtId="0" fontId="0" fillId="0" borderId="36" xfId="0" applyFont="1" applyBorder="1" applyAlignment="1">
      <alignment horizontal="left" wrapText="1"/>
    </xf>
    <xf numFmtId="44" fontId="3" fillId="0" borderId="42" xfId="2" applyFont="1" applyBorder="1" applyAlignment="1">
      <alignment horizontal="center"/>
    </xf>
    <xf numFmtId="44" fontId="3" fillId="0" borderId="37" xfId="2" applyFont="1" applyBorder="1" applyAlignment="1">
      <alignment horizontal="center"/>
    </xf>
    <xf numFmtId="0" fontId="3" fillId="0" borderId="13" xfId="0" applyFont="1" applyFill="1" applyBorder="1" applyAlignment="1">
      <alignment horizontal="center" wrapText="1"/>
    </xf>
    <xf numFmtId="0" fontId="3" fillId="0" borderId="15" xfId="0" applyFont="1" applyFill="1" applyBorder="1" applyAlignment="1">
      <alignment horizontal="center" wrapText="1"/>
    </xf>
    <xf numFmtId="0" fontId="3" fillId="0" borderId="5" xfId="0" applyFont="1" applyFill="1" applyBorder="1" applyAlignment="1">
      <alignment horizontal="center" wrapText="1"/>
    </xf>
    <xf numFmtId="0" fontId="3" fillId="0" borderId="6" xfId="0" applyFont="1" applyFill="1" applyBorder="1" applyAlignment="1">
      <alignment horizontal="center" wrapText="1"/>
    </xf>
  </cellXfs>
  <cellStyles count="18">
    <cellStyle name="Comma" xfId="1" builtinId="3"/>
    <cellStyle name="Currency" xfId="2" builtinId="4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Normal" xfId="0" builtinId="0"/>
    <cellStyle name="Percent" xfId="3" builtinId="5"/>
  </cellStyles>
  <dxfs count="4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0000FF"/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NAL at different Pretax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NAL at various Pretax rates</c:v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'NAL Analysis'!$J$44:$J$66</c:f>
              <c:numCache>
                <c:formatCode>0.0%</c:formatCode>
                <c:ptCount val="23"/>
                <c:pt idx="0">
                  <c:v>4.4999999999999984E-2</c:v>
                </c:pt>
                <c:pt idx="1">
                  <c:v>4.9999999999999982E-2</c:v>
                </c:pt>
                <c:pt idx="2">
                  <c:v>5.4999999999999979E-2</c:v>
                </c:pt>
                <c:pt idx="3">
                  <c:v>5.9999999999999977E-2</c:v>
                </c:pt>
                <c:pt idx="4">
                  <c:v>6.4999999999999974E-2</c:v>
                </c:pt>
                <c:pt idx="5">
                  <c:v>6.9999999999999979E-2</c:v>
                </c:pt>
                <c:pt idx="6">
                  <c:v>7.4999999999999983E-2</c:v>
                </c:pt>
                <c:pt idx="7">
                  <c:v>7.9999999999999988E-2</c:v>
                </c:pt>
                <c:pt idx="8">
                  <c:v>8.4999999999999992E-2</c:v>
                </c:pt>
                <c:pt idx="9">
                  <c:v>0.09</c:v>
                </c:pt>
                <c:pt idx="10">
                  <c:v>9.5000000000000001E-2</c:v>
                </c:pt>
                <c:pt idx="11">
                  <c:v>0.1</c:v>
                </c:pt>
                <c:pt idx="12">
                  <c:v>0.10500000000000001</c:v>
                </c:pt>
                <c:pt idx="13">
                  <c:v>0.11000000000000001</c:v>
                </c:pt>
                <c:pt idx="14">
                  <c:v>0.11500000000000002</c:v>
                </c:pt>
                <c:pt idx="15">
                  <c:v>0.12000000000000002</c:v>
                </c:pt>
                <c:pt idx="16">
                  <c:v>0.12500000000000003</c:v>
                </c:pt>
                <c:pt idx="17">
                  <c:v>0.13000000000000003</c:v>
                </c:pt>
                <c:pt idx="18">
                  <c:v>0.13500000000000004</c:v>
                </c:pt>
                <c:pt idx="19">
                  <c:v>0.14000000000000004</c:v>
                </c:pt>
                <c:pt idx="20">
                  <c:v>0.14500000000000005</c:v>
                </c:pt>
                <c:pt idx="21">
                  <c:v>0.15000000000000005</c:v>
                </c:pt>
                <c:pt idx="22">
                  <c:v>0.15500000000000005</c:v>
                </c:pt>
              </c:numCache>
            </c:numRef>
          </c:cat>
          <c:val>
            <c:numRef>
              <c:f>'NAL Analysis'!$K$44:$K$66</c:f>
              <c:numCache>
                <c:formatCode>_("$"* #,##0.00_);_("$"* \(#,##0.00\);_("$"* "-"??_);_(@_)</c:formatCode>
                <c:ptCount val="23"/>
                <c:pt idx="0">
                  <c:v>-80284.198158908868</c:v>
                </c:pt>
                <c:pt idx="1">
                  <c:v>-66305.779834945337</c:v>
                </c:pt>
                <c:pt idx="2">
                  <c:v>-52643.479859643267</c:v>
                </c:pt>
                <c:pt idx="3">
                  <c:v>-39288.126584828831</c:v>
                </c:pt>
                <c:pt idx="4">
                  <c:v>-26230.860264213639</c:v>
                </c:pt>
                <c:pt idx="5">
                  <c:v>-13463.121137434035</c:v>
                </c:pt>
                <c:pt idx="6">
                  <c:v>-976.63801373867318</c:v>
                </c:pt>
                <c:pt idx="7">
                  <c:v>11236.58266734099</c:v>
                </c:pt>
                <c:pt idx="8">
                  <c:v>23184.26731990173</c:v>
                </c:pt>
                <c:pt idx="9">
                  <c:v>34873.885260682437</c:v>
                </c:pt>
                <c:pt idx="10">
                  <c:v>46312.658342709416</c:v>
                </c:pt>
                <c:pt idx="11">
                  <c:v>57507.57019215601</c:v>
                </c:pt>
                <c:pt idx="12">
                  <c:v>68465.375066126115</c:v>
                </c:pt>
                <c:pt idx="13">
                  <c:v>79192.606348200585</c:v>
                </c:pt>
                <c:pt idx="14">
                  <c:v>89695.584697801853</c:v>
                </c:pt>
                <c:pt idx="15">
                  <c:v>99980.425868655671</c:v>
                </c:pt>
                <c:pt idx="16">
                  <c:v>110053.0482109224</c:v>
                </c:pt>
                <c:pt idx="17">
                  <c:v>119919.17987085646</c:v>
                </c:pt>
                <c:pt idx="18">
                  <c:v>129584.36570123269</c:v>
                </c:pt>
                <c:pt idx="19">
                  <c:v>139053.97389512265</c:v>
                </c:pt>
                <c:pt idx="20">
                  <c:v>148333.20235505182</c:v>
                </c:pt>
                <c:pt idx="21">
                  <c:v>157427.08480897313</c:v>
                </c:pt>
                <c:pt idx="22">
                  <c:v>166340.49668399029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19-CF49-80D7-862B7F633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25216"/>
        <c:axId val="500225608"/>
      </c:areaChart>
      <c:catAx>
        <c:axId val="500225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Pretax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5608"/>
        <c:crosses val="autoZero"/>
        <c:auto val="1"/>
        <c:lblAlgn val="ctr"/>
        <c:lblOffset val="100"/>
        <c:noMultiLvlLbl val="0"/>
      </c:catAx>
      <c:valAx>
        <c:axId val="50022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Advantage to Leasing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22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NAL at various Lease Payments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cat>
            <c:numRef>
              <c:f>'NAL Analysis'!$E$44:$E$66</c:f>
              <c:numCache>
                <c:formatCode>_-"$"* #,##0.00_-;\-"$"* #,##0.00_-;_-"$"* "-"??_-;_-@_-</c:formatCode>
                <c:ptCount val="23"/>
                <c:pt idx="0">
                  <c:v>100000</c:v>
                </c:pt>
                <c:pt idx="1">
                  <c:v>101000</c:v>
                </c:pt>
                <c:pt idx="2">
                  <c:v>102000</c:v>
                </c:pt>
                <c:pt idx="3">
                  <c:v>103000</c:v>
                </c:pt>
                <c:pt idx="4">
                  <c:v>104000</c:v>
                </c:pt>
                <c:pt idx="5">
                  <c:v>105000</c:v>
                </c:pt>
                <c:pt idx="6">
                  <c:v>106000</c:v>
                </c:pt>
                <c:pt idx="7">
                  <c:v>107000</c:v>
                </c:pt>
                <c:pt idx="8">
                  <c:v>108000</c:v>
                </c:pt>
                <c:pt idx="9">
                  <c:v>109000</c:v>
                </c:pt>
                <c:pt idx="10">
                  <c:v>110000</c:v>
                </c:pt>
                <c:pt idx="11">
                  <c:v>111000</c:v>
                </c:pt>
                <c:pt idx="12">
                  <c:v>112000</c:v>
                </c:pt>
                <c:pt idx="13">
                  <c:v>113000</c:v>
                </c:pt>
                <c:pt idx="14">
                  <c:v>114000</c:v>
                </c:pt>
                <c:pt idx="15">
                  <c:v>115000</c:v>
                </c:pt>
                <c:pt idx="16">
                  <c:v>116000</c:v>
                </c:pt>
                <c:pt idx="17">
                  <c:v>117000</c:v>
                </c:pt>
                <c:pt idx="18">
                  <c:v>118000</c:v>
                </c:pt>
                <c:pt idx="19">
                  <c:v>119000</c:v>
                </c:pt>
                <c:pt idx="20">
                  <c:v>120000</c:v>
                </c:pt>
                <c:pt idx="21">
                  <c:v>121000</c:v>
                </c:pt>
                <c:pt idx="22">
                  <c:v>122000</c:v>
                </c:pt>
              </c:numCache>
            </c:numRef>
          </c:cat>
          <c:val>
            <c:numRef>
              <c:f>'NAL Analysis'!$F$44:$F$66</c:f>
              <c:numCache>
                <c:formatCode>_("$"* #,##0.00_);_("$"* \(#,##0.00\);_("$"* "-"??_);_(@_)</c:formatCode>
                <c:ptCount val="23"/>
                <c:pt idx="0">
                  <c:v>100368.50525443279</c:v>
                </c:pt>
                <c:pt idx="1">
                  <c:v>94962.920563260443</c:v>
                </c:pt>
                <c:pt idx="2">
                  <c:v>89557.335872088093</c:v>
                </c:pt>
                <c:pt idx="3">
                  <c:v>84151.751180915744</c:v>
                </c:pt>
                <c:pt idx="4">
                  <c:v>78746.166489743395</c:v>
                </c:pt>
                <c:pt idx="5">
                  <c:v>73340.581798570929</c:v>
                </c:pt>
                <c:pt idx="6">
                  <c:v>67934.997107398696</c:v>
                </c:pt>
                <c:pt idx="7">
                  <c:v>62529.412416226231</c:v>
                </c:pt>
                <c:pt idx="8">
                  <c:v>57123.827725053998</c:v>
                </c:pt>
                <c:pt idx="9">
                  <c:v>51718.243033881532</c:v>
                </c:pt>
                <c:pt idx="10">
                  <c:v>46312.658342709416</c:v>
                </c:pt>
                <c:pt idx="11">
                  <c:v>40907.073651537066</c:v>
                </c:pt>
                <c:pt idx="12">
                  <c:v>35501.488960364601</c:v>
                </c:pt>
                <c:pt idx="13">
                  <c:v>30095.904269192368</c:v>
                </c:pt>
                <c:pt idx="14">
                  <c:v>24690.319578020019</c:v>
                </c:pt>
                <c:pt idx="15">
                  <c:v>19284.734886847669</c:v>
                </c:pt>
                <c:pt idx="16">
                  <c:v>13879.150195675204</c:v>
                </c:pt>
                <c:pt idx="17">
                  <c:v>8473.5655045028543</c:v>
                </c:pt>
                <c:pt idx="18">
                  <c:v>3067.9808133306215</c:v>
                </c:pt>
                <c:pt idx="19">
                  <c:v>-2337.6038778417278</c:v>
                </c:pt>
                <c:pt idx="20">
                  <c:v>-7743.1885690140771</c:v>
                </c:pt>
                <c:pt idx="21">
                  <c:v>-13148.773260186543</c:v>
                </c:pt>
                <c:pt idx="22">
                  <c:v>-18554.357951358776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53-4344-97C9-0A3EB95B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54184"/>
        <c:axId val="493654576"/>
      </c:areaChart>
      <c:catAx>
        <c:axId val="493654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Lease Payment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$&quot;* #,##0.00_-;\-&quot;$&quot;* #,##0.00_-;_-&quot;$&quot;* &quot;-&quot;??_-;_-@_-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54576"/>
        <c:crosses val="autoZero"/>
        <c:auto val="1"/>
        <c:lblAlgn val="ctr"/>
        <c:lblOffset val="100"/>
        <c:noMultiLvlLbl val="0"/>
      </c:catAx>
      <c:valAx>
        <c:axId val="49365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Net Advantage to Leasing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54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IRR at various Equity Levels</c:v>
          </c:tx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2159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'Leveraged Lease'!$D$35:$D$63</c:f>
              <c:numCache>
                <c:formatCode>_-"$"* #,##0.00_-;\-"$"* #,##0.00_-;_-"$"* "-"??_-;_-@_-</c:formatCode>
                <c:ptCount val="29"/>
                <c:pt idx="0">
                  <c:v>110000</c:v>
                </c:pt>
                <c:pt idx="1">
                  <c:v>120000</c:v>
                </c:pt>
                <c:pt idx="2">
                  <c:v>130000</c:v>
                </c:pt>
                <c:pt idx="3">
                  <c:v>140000</c:v>
                </c:pt>
                <c:pt idx="4">
                  <c:v>150000</c:v>
                </c:pt>
                <c:pt idx="5">
                  <c:v>160000</c:v>
                </c:pt>
                <c:pt idx="6">
                  <c:v>170000</c:v>
                </c:pt>
                <c:pt idx="7">
                  <c:v>180000</c:v>
                </c:pt>
                <c:pt idx="8">
                  <c:v>190000</c:v>
                </c:pt>
                <c:pt idx="9">
                  <c:v>200000</c:v>
                </c:pt>
                <c:pt idx="10">
                  <c:v>210000</c:v>
                </c:pt>
                <c:pt idx="11">
                  <c:v>220000</c:v>
                </c:pt>
                <c:pt idx="12">
                  <c:v>230000</c:v>
                </c:pt>
                <c:pt idx="13">
                  <c:v>240000</c:v>
                </c:pt>
                <c:pt idx="14">
                  <c:v>250000</c:v>
                </c:pt>
                <c:pt idx="15">
                  <c:v>260000</c:v>
                </c:pt>
                <c:pt idx="16">
                  <c:v>270000</c:v>
                </c:pt>
                <c:pt idx="17">
                  <c:v>280000</c:v>
                </c:pt>
                <c:pt idx="18">
                  <c:v>290000</c:v>
                </c:pt>
                <c:pt idx="19">
                  <c:v>300000</c:v>
                </c:pt>
                <c:pt idx="20">
                  <c:v>310000</c:v>
                </c:pt>
                <c:pt idx="21">
                  <c:v>320000</c:v>
                </c:pt>
                <c:pt idx="22">
                  <c:v>330000</c:v>
                </c:pt>
                <c:pt idx="23">
                  <c:v>340000</c:v>
                </c:pt>
                <c:pt idx="24">
                  <c:v>350000</c:v>
                </c:pt>
                <c:pt idx="25">
                  <c:v>360000</c:v>
                </c:pt>
                <c:pt idx="26">
                  <c:v>370000</c:v>
                </c:pt>
                <c:pt idx="27">
                  <c:v>380000</c:v>
                </c:pt>
                <c:pt idx="28">
                  <c:v>390000</c:v>
                </c:pt>
              </c:numCache>
            </c:numRef>
          </c:xVal>
          <c:yVal>
            <c:numRef>
              <c:f>'Leveraged Lease'!$E$35:$E$63</c:f>
              <c:numCache>
                <c:formatCode>0.00%</c:formatCode>
                <c:ptCount val="29"/>
                <c:pt idx="0">
                  <c:v>5.1014365477444201E-3</c:v>
                </c:pt>
                <c:pt idx="1">
                  <c:v>3.6655883004086398E-3</c:v>
                </c:pt>
                <c:pt idx="2">
                  <c:v>2.1014534295595855E-3</c:v>
                </c:pt>
                <c:pt idx="3">
                  <c:v>3.9286004646554851E-4</c:v>
                </c:pt>
                <c:pt idx="4">
                  <c:v>0.79828217910089028</c:v>
                </c:pt>
                <c:pt idx="5">
                  <c:v>0.70016136803394269</c:v>
                </c:pt>
                <c:pt idx="6">
                  <c:v>0.61903881579968423</c:v>
                </c:pt>
                <c:pt idx="7">
                  <c:v>0.55069308015054119</c:v>
                </c:pt>
                <c:pt idx="8">
                  <c:v>0.49223702442629236</c:v>
                </c:pt>
                <c:pt idx="9">
                  <c:v>0.44163211026109317</c:v>
                </c:pt>
                <c:pt idx="10">
                  <c:v>0.39740180810592651</c:v>
                </c:pt>
                <c:pt idx="11">
                  <c:v>0.35845453423622065</c:v>
                </c:pt>
                <c:pt idx="12">
                  <c:v>0.32396971317391454</c:v>
                </c:pt>
                <c:pt idx="13">
                  <c:v>0.29332157425574068</c:v>
                </c:pt>
                <c:pt idx="14">
                  <c:v>0.2660261317487107</c:v>
                </c:pt>
                <c:pt idx="15">
                  <c:v>0.24170272660160563</c:v>
                </c:pt>
                <c:pt idx="16">
                  <c:v>0.22004497826073521</c:v>
                </c:pt>
                <c:pt idx="17">
                  <c:v>0.20079819405591515</c:v>
                </c:pt>
                <c:pt idx="18">
                  <c:v>0.18374175766637757</c:v>
                </c:pt>
                <c:pt idx="19">
                  <c:v>0.16867595489433573</c:v>
                </c:pt>
                <c:pt idx="20">
                  <c:v>0.15541311108558897</c:v>
                </c:pt>
                <c:pt idx="21">
                  <c:v>0.14377283543544039</c:v>
                </c:pt>
                <c:pt idx="22">
                  <c:v>0.13358075881459364</c:v>
                </c:pt>
                <c:pt idx="23">
                  <c:v>0.12466971093838941</c:v>
                </c:pt>
                <c:pt idx="24">
                  <c:v>0.11688208587833793</c:v>
                </c:pt>
                <c:pt idx="25">
                  <c:v>0.11007228884871956</c:v>
                </c:pt>
                <c:pt idx="26">
                  <c:v>0.10410853833233502</c:v>
                </c:pt>
                <c:pt idx="27">
                  <c:v>9.8873725979138793E-2</c:v>
                </c:pt>
                <c:pt idx="28">
                  <c:v>9.4265365240882026E-2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43-C54A-90E6-09B26B1F7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55360"/>
        <c:axId val="493655752"/>
      </c:scatterChart>
      <c:valAx>
        <c:axId val="493655360"/>
        <c:scaling>
          <c:orientation val="minMax"/>
          <c:min val="1000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Equity Level</a:t>
                </a:r>
              </a:p>
            </c:rich>
          </c:tx>
          <c:overlay val="0"/>
        </c:title>
        <c:numFmt formatCode="_-&quot;$&quot;* #,##0.00_-;\-&quot;$&quot;* #,##0.00_-;_-&quot;$&quot;* &quot;-&quot;??_-;_-@_-" sourceLinked="1"/>
        <c:majorTickMark val="none"/>
        <c:minorTickMark val="none"/>
        <c:tickLblPos val="nextTo"/>
        <c:spPr>
          <a:noFill/>
          <a:ln cap="rnd">
            <a:noFill/>
          </a:ln>
        </c:spPr>
        <c:txPr>
          <a:bodyPr rot="0" vert="horz" anchor="ctr" anchorCtr="1"/>
          <a:lstStyle/>
          <a:p>
            <a:pPr>
              <a:defRPr/>
            </a:pPr>
            <a:endParaRPr lang="en-US"/>
          </a:p>
        </c:txPr>
        <c:crossAx val="493655752"/>
        <c:crosses val="autoZero"/>
        <c:crossBetween val="midCat"/>
      </c:valAx>
      <c:valAx>
        <c:axId val="493655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IRR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55360"/>
        <c:crosses val="autoZero"/>
        <c:crossBetween val="midCat"/>
      </c:valAx>
      <c:spPr>
        <a:solidFill>
          <a:schemeClr val="lt1"/>
        </a:solidFill>
        <a:ln>
          <a:noFill/>
        </a:ln>
        <a:effectLst/>
      </c:spPr>
    </c:plotArea>
    <c:plotVisOnly val="1"/>
    <c:dispBlanksAs val="gap"/>
    <c:showDLblsOverMax val="0"/>
  </c:chart>
  <c:spPr>
    <a:ln w="9525" cap="flat" cmpd="sng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NPV of Cash Flow to Equity at Various Levels of Lease Payments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NPV at various Lease Amounts</c:v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cat>
            <c:numRef>
              <c:f>'Leveraged Lease'!$G$35:$G$63</c:f>
              <c:numCache>
                <c:formatCode>_-"$"* #,##0.00_-;\-"$"* #,##0.00_-;_-"$"* "-"??_-;_-@_-</c:formatCode>
                <c:ptCount val="29"/>
                <c:pt idx="0">
                  <c:v>90000</c:v>
                </c:pt>
                <c:pt idx="1">
                  <c:v>91000</c:v>
                </c:pt>
                <c:pt idx="2">
                  <c:v>92000</c:v>
                </c:pt>
                <c:pt idx="3">
                  <c:v>93000</c:v>
                </c:pt>
                <c:pt idx="4">
                  <c:v>94000</c:v>
                </c:pt>
                <c:pt idx="5">
                  <c:v>95000</c:v>
                </c:pt>
                <c:pt idx="6">
                  <c:v>96000</c:v>
                </c:pt>
                <c:pt idx="7">
                  <c:v>97000</c:v>
                </c:pt>
                <c:pt idx="8">
                  <c:v>98000</c:v>
                </c:pt>
                <c:pt idx="9">
                  <c:v>99000</c:v>
                </c:pt>
                <c:pt idx="10">
                  <c:v>100000</c:v>
                </c:pt>
                <c:pt idx="11">
                  <c:v>101000</c:v>
                </c:pt>
                <c:pt idx="12">
                  <c:v>102000</c:v>
                </c:pt>
                <c:pt idx="13">
                  <c:v>103000</c:v>
                </c:pt>
                <c:pt idx="14">
                  <c:v>104000</c:v>
                </c:pt>
                <c:pt idx="15">
                  <c:v>105000</c:v>
                </c:pt>
                <c:pt idx="16">
                  <c:v>106000</c:v>
                </c:pt>
                <c:pt idx="17">
                  <c:v>107000</c:v>
                </c:pt>
                <c:pt idx="18">
                  <c:v>108000</c:v>
                </c:pt>
                <c:pt idx="19">
                  <c:v>109000</c:v>
                </c:pt>
                <c:pt idx="20">
                  <c:v>110000</c:v>
                </c:pt>
                <c:pt idx="21">
                  <c:v>111000</c:v>
                </c:pt>
                <c:pt idx="22">
                  <c:v>112000</c:v>
                </c:pt>
                <c:pt idx="23">
                  <c:v>113000</c:v>
                </c:pt>
                <c:pt idx="24">
                  <c:v>114000</c:v>
                </c:pt>
                <c:pt idx="25">
                  <c:v>115000</c:v>
                </c:pt>
                <c:pt idx="26">
                  <c:v>116000</c:v>
                </c:pt>
                <c:pt idx="27">
                  <c:v>117000</c:v>
                </c:pt>
                <c:pt idx="28">
                  <c:v>118000</c:v>
                </c:pt>
              </c:numCache>
            </c:numRef>
          </c:cat>
          <c:val>
            <c:numRef>
              <c:f>'Leveraged Lease'!$H$35:$H$63</c:f>
              <c:numCache>
                <c:formatCode>_("$"* #,##0.00_);_("$"* \(#,##0.00\);_("$"* "-"??_);_(@_)</c:formatCode>
                <c:ptCount val="29"/>
                <c:pt idx="0">
                  <c:v>-80142.499404394694</c:v>
                </c:pt>
                <c:pt idx="1">
                  <c:v>-74170.968104933505</c:v>
                </c:pt>
                <c:pt idx="2">
                  <c:v>-68199.436805472345</c:v>
                </c:pt>
                <c:pt idx="3">
                  <c:v>-62227.905506011157</c:v>
                </c:pt>
                <c:pt idx="4">
                  <c:v>-56256.374206550012</c:v>
                </c:pt>
                <c:pt idx="5">
                  <c:v>-50284.842907088809</c:v>
                </c:pt>
                <c:pt idx="6">
                  <c:v>-44313.31160762762</c:v>
                </c:pt>
                <c:pt idx="7">
                  <c:v>-38341.78030816649</c:v>
                </c:pt>
                <c:pt idx="8">
                  <c:v>-32370.249008705243</c:v>
                </c:pt>
                <c:pt idx="9">
                  <c:v>-26398.717709244098</c:v>
                </c:pt>
                <c:pt idx="10">
                  <c:v>-20427.186409782938</c:v>
                </c:pt>
                <c:pt idx="11">
                  <c:v>-14455.655110321721</c:v>
                </c:pt>
                <c:pt idx="12">
                  <c:v>-8484.1238108605467</c:v>
                </c:pt>
                <c:pt idx="13">
                  <c:v>-2512.5925113993871</c:v>
                </c:pt>
                <c:pt idx="14">
                  <c:v>3458.9387880617869</c:v>
                </c:pt>
                <c:pt idx="15">
                  <c:v>9430.470087522961</c:v>
                </c:pt>
                <c:pt idx="16">
                  <c:v>15402.001386984135</c:v>
                </c:pt>
                <c:pt idx="17">
                  <c:v>21373.53268644528</c:v>
                </c:pt>
                <c:pt idx="18">
                  <c:v>27345.063985906483</c:v>
                </c:pt>
                <c:pt idx="19">
                  <c:v>33316.595285367628</c:v>
                </c:pt>
                <c:pt idx="20">
                  <c:v>39288.126584828831</c:v>
                </c:pt>
                <c:pt idx="21">
                  <c:v>45259.657884290005</c:v>
                </c:pt>
                <c:pt idx="22">
                  <c:v>51231.18918375115</c:v>
                </c:pt>
                <c:pt idx="23">
                  <c:v>57202.720483212441</c:v>
                </c:pt>
                <c:pt idx="24">
                  <c:v>63174.251782673469</c:v>
                </c:pt>
                <c:pt idx="25">
                  <c:v>69145.78308213476</c:v>
                </c:pt>
                <c:pt idx="26">
                  <c:v>75117.314381595846</c:v>
                </c:pt>
                <c:pt idx="27">
                  <c:v>81088.845681057108</c:v>
                </c:pt>
                <c:pt idx="28">
                  <c:v>87060.376980518166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1-C541-A347-980EAD1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656536"/>
        <c:axId val="493656928"/>
      </c:areaChart>
      <c:catAx>
        <c:axId val="493656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chemeClr val="tx1"/>
                    </a:solidFill>
                  </a:rPr>
                  <a:t>Net Present Value to Cash flow of Equity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-&quot;$&quot;* #,##0.00_-;\-&quot;$&quot;* #,##0.00_-;_-&quot;$&quot;* &quot;-&quot;??_-;_-@_-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56928"/>
        <c:crosses val="autoZero"/>
        <c:auto val="1"/>
        <c:lblAlgn val="ctr"/>
        <c:lblOffset val="100"/>
        <c:noMultiLvlLbl val="1"/>
      </c:catAx>
      <c:valAx>
        <c:axId val="49365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1">
                    <a:solidFill>
                      <a:schemeClr val="tx1"/>
                    </a:solidFill>
                  </a:rPr>
                  <a:t>Lease Payment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656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thinThick" algn="ctr">
      <a:solidFill>
        <a:schemeClr val="tx2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398844</xdr:colOff>
      <xdr:row>67</xdr:row>
      <xdr:rowOff>115455</xdr:rowOff>
    </xdr:from>
    <xdr:to>
      <xdr:col>13</xdr:col>
      <xdr:colOff>230910</xdr:colOff>
      <xdr:row>89</xdr:row>
      <xdr:rowOff>157438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889000</xdr:colOff>
      <xdr:row>67</xdr:row>
      <xdr:rowOff>113566</xdr:rowOff>
    </xdr:from>
    <xdr:to>
      <xdr:col>7</xdr:col>
      <xdr:colOff>73471</xdr:colOff>
      <xdr:row>90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0.61844</cdr:x>
      <cdr:y>0.20488</cdr:y>
    </cdr:from>
    <cdr:to>
      <cdr:x>0.92253</cdr:x>
      <cdr:y>0.29727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351330" y="768087"/>
          <a:ext cx="1647852" cy="3463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336153</xdr:colOff>
      <xdr:row>65</xdr:row>
      <xdr:rowOff>149621</xdr:rowOff>
    </xdr:from>
    <xdr:to>
      <xdr:col>5</xdr:col>
      <xdr:colOff>698500</xdr:colOff>
      <xdr:row>87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65</xdr:row>
      <xdr:rowOff>164307</xdr:rowOff>
    </xdr:from>
    <xdr:to>
      <xdr:col>12</xdr:col>
      <xdr:colOff>990599</xdr:colOff>
      <xdr:row>87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92"/>
  <sheetViews>
    <sheetView showGridLines="0" tabSelected="1" workbookViewId="0">
      <selection activeCell="K27" sqref="K27"/>
    </sheetView>
  </sheetViews>
  <sheetFormatPr baseColWidth="10" defaultColWidth="8.83203125" defaultRowHeight="13" x14ac:dyDescent="0.15"/>
  <cols>
    <col min="1" max="1" width="22.1640625" bestFit="1" customWidth="1"/>
    <col min="2" max="2" width="13.6640625" bestFit="1" customWidth="1"/>
    <col min="3" max="3" width="16.33203125" bestFit="1" customWidth="1"/>
    <col min="5" max="5" width="15" bestFit="1" customWidth="1"/>
    <col min="6" max="6" width="14.83203125" bestFit="1" customWidth="1"/>
    <col min="7" max="7" width="13" bestFit="1" customWidth="1"/>
    <col min="8" max="8" width="16.83203125" customWidth="1"/>
    <col min="9" max="9" width="16.1640625" bestFit="1" customWidth="1"/>
    <col min="10" max="10" width="12.33203125" bestFit="1" customWidth="1"/>
    <col min="11" max="11" width="12.5" customWidth="1"/>
    <col min="12" max="12" width="11.5" bestFit="1" customWidth="1"/>
    <col min="13" max="14" width="12.83203125" bestFit="1" customWidth="1"/>
  </cols>
  <sheetData>
    <row r="1" spans="1:10" ht="20" x14ac:dyDescent="0.2">
      <c r="A1" s="181" t="s">
        <v>36</v>
      </c>
      <c r="B1" s="182"/>
      <c r="C1" s="182"/>
      <c r="D1" s="182"/>
      <c r="E1" s="182"/>
      <c r="F1" s="182"/>
      <c r="G1" s="182"/>
      <c r="H1" s="182"/>
      <c r="I1" s="183"/>
    </row>
    <row r="3" spans="1:10" ht="14" thickBot="1" x14ac:dyDescent="0.2"/>
    <row r="4" spans="1:10" x14ac:dyDescent="0.15">
      <c r="A4" s="190" t="s">
        <v>0</v>
      </c>
      <c r="B4" s="191"/>
      <c r="D4" s="164" t="s">
        <v>56</v>
      </c>
      <c r="E4" s="165"/>
      <c r="F4" s="165"/>
      <c r="G4" s="166"/>
    </row>
    <row r="5" spans="1:10" ht="13" customHeight="1" x14ac:dyDescent="0.15">
      <c r="A5" s="54" t="s">
        <v>1</v>
      </c>
      <c r="B5" s="85">
        <v>0.4</v>
      </c>
      <c r="C5" s="27"/>
      <c r="D5" s="197" t="s">
        <v>54</v>
      </c>
      <c r="E5" s="198"/>
      <c r="F5" s="199"/>
      <c r="G5" s="163">
        <v>118567.55762579</v>
      </c>
    </row>
    <row r="6" spans="1:10" ht="13" customHeight="1" x14ac:dyDescent="0.15">
      <c r="A6" s="54" t="s">
        <v>2</v>
      </c>
      <c r="B6" s="85">
        <v>9.5000000000000001E-2</v>
      </c>
      <c r="C6" s="28"/>
      <c r="D6" s="200"/>
      <c r="E6" s="201"/>
      <c r="F6" s="202"/>
      <c r="G6" s="163"/>
    </row>
    <row r="7" spans="1:10" ht="13" customHeight="1" x14ac:dyDescent="0.15">
      <c r="A7" s="56" t="s">
        <v>40</v>
      </c>
      <c r="B7" s="84">
        <v>950000</v>
      </c>
      <c r="C7" s="29"/>
      <c r="D7" s="203"/>
      <c r="E7" s="204"/>
      <c r="F7" s="205"/>
      <c r="G7" s="163"/>
    </row>
    <row r="8" spans="1:10" ht="13" customHeight="1" x14ac:dyDescent="0.15">
      <c r="A8" s="56" t="s">
        <v>39</v>
      </c>
      <c r="B8" s="84">
        <v>50000</v>
      </c>
      <c r="C8" s="30"/>
      <c r="D8" s="167" t="s">
        <v>61</v>
      </c>
      <c r="E8" s="168"/>
      <c r="F8" s="169"/>
      <c r="G8" s="176">
        <v>7.53957930491162E-2</v>
      </c>
    </row>
    <row r="9" spans="1:10" x14ac:dyDescent="0.15">
      <c r="A9" s="54" t="s">
        <v>3</v>
      </c>
      <c r="B9" s="141">
        <f>B8+B7</f>
        <v>1000000</v>
      </c>
      <c r="C9" s="32"/>
      <c r="D9" s="170"/>
      <c r="E9" s="171"/>
      <c r="F9" s="172"/>
      <c r="G9" s="177"/>
    </row>
    <row r="10" spans="1:10" ht="14" thickBot="1" x14ac:dyDescent="0.2">
      <c r="A10" s="54" t="s">
        <v>4</v>
      </c>
      <c r="B10" s="84">
        <v>110000</v>
      </c>
      <c r="C10" s="30"/>
      <c r="D10" s="173"/>
      <c r="E10" s="174"/>
      <c r="F10" s="175"/>
      <c r="G10" s="178"/>
    </row>
    <row r="11" spans="1:10" x14ac:dyDescent="0.15">
      <c r="A11" s="63" t="s">
        <v>32</v>
      </c>
      <c r="B11" s="154">
        <v>12</v>
      </c>
      <c r="C11" s="31"/>
    </row>
    <row r="12" spans="1:10" ht="14" thickBot="1" x14ac:dyDescent="0.2">
      <c r="A12" s="58" t="s">
        <v>15</v>
      </c>
      <c r="B12" s="87">
        <v>0.05</v>
      </c>
      <c r="C12" s="27"/>
    </row>
    <row r="13" spans="1:10" ht="14" thickBot="1" x14ac:dyDescent="0.2"/>
    <row r="14" spans="1:10" ht="12.75" customHeight="1" x14ac:dyDescent="0.15">
      <c r="A14" s="192" t="s">
        <v>23</v>
      </c>
      <c r="B14" s="184" t="s">
        <v>6</v>
      </c>
      <c r="C14" s="184" t="s">
        <v>7</v>
      </c>
      <c r="D14" s="184" t="s">
        <v>8</v>
      </c>
      <c r="E14" s="184" t="s">
        <v>9</v>
      </c>
      <c r="F14" s="184" t="s">
        <v>10</v>
      </c>
      <c r="G14" s="184" t="s">
        <v>11</v>
      </c>
      <c r="H14" s="184" t="s">
        <v>12</v>
      </c>
      <c r="I14" s="187" t="s">
        <v>13</v>
      </c>
      <c r="J14" s="195"/>
    </row>
    <row r="15" spans="1:10" x14ac:dyDescent="0.15">
      <c r="A15" s="193"/>
      <c r="B15" s="185"/>
      <c r="C15" s="185"/>
      <c r="D15" s="185"/>
      <c r="E15" s="185"/>
      <c r="F15" s="185"/>
      <c r="G15" s="185"/>
      <c r="H15" s="185"/>
      <c r="I15" s="188"/>
      <c r="J15" s="195"/>
    </row>
    <row r="16" spans="1:10" x14ac:dyDescent="0.15">
      <c r="A16" s="193"/>
      <c r="B16" s="185"/>
      <c r="C16" s="185"/>
      <c r="D16" s="185"/>
      <c r="E16" s="185"/>
      <c r="F16" s="185"/>
      <c r="G16" s="185"/>
      <c r="H16" s="185"/>
      <c r="I16" s="188"/>
      <c r="J16" s="195"/>
    </row>
    <row r="17" spans="1:11" x14ac:dyDescent="0.15">
      <c r="A17" s="194"/>
      <c r="B17" s="186"/>
      <c r="C17" s="186"/>
      <c r="D17" s="186"/>
      <c r="E17" s="186"/>
      <c r="F17" s="186"/>
      <c r="G17" s="186"/>
      <c r="H17" s="186"/>
      <c r="I17" s="189"/>
      <c r="J17" s="196"/>
    </row>
    <row r="18" spans="1:11" x14ac:dyDescent="0.15">
      <c r="A18" s="127">
        <v>0</v>
      </c>
      <c r="B18" s="33"/>
      <c r="C18" s="34"/>
      <c r="D18" s="35"/>
      <c r="E18" s="34"/>
      <c r="F18" s="34"/>
      <c r="G18" s="34"/>
      <c r="H18" s="36">
        <v>0</v>
      </c>
      <c r="I18" s="128">
        <f>-$B$10*(1-$B$5)</f>
        <v>-66000</v>
      </c>
      <c r="J18" s="81"/>
      <c r="K18" s="74"/>
    </row>
    <row r="19" spans="1:11" x14ac:dyDescent="0.15">
      <c r="A19" s="93">
        <v>1</v>
      </c>
      <c r="B19" s="37">
        <f>IF(A19&gt;Lease_Term,0,IPMT(Pretax_Rate*(1-Federal_Tax_Rate),A19,Lease_Term,Total_Cost))</f>
        <v>-56999.999999999993</v>
      </c>
      <c r="C19" s="37">
        <f t="shared" ref="C19:C30" si="0">IF(A19&gt;Lease_Term,0,PPMT(Pretax_Rate,A19,Lease_Term,Total_Cost))</f>
        <v>-48187.714234993873</v>
      </c>
      <c r="D19" s="85">
        <v>0.2</v>
      </c>
      <c r="E19" s="38">
        <f>D19*$B$9</f>
        <v>200000</v>
      </c>
      <c r="F19" s="39">
        <f>E19*$B$5</f>
        <v>80000</v>
      </c>
      <c r="G19" s="34"/>
      <c r="H19" s="36">
        <f>B19+C19+F19</f>
        <v>-25187.714234993866</v>
      </c>
      <c r="I19" s="128">
        <f t="shared" ref="I19:I29" si="1">-$B$10*(1-$B$5)</f>
        <v>-66000</v>
      </c>
      <c r="J19" s="81"/>
      <c r="K19" s="74"/>
    </row>
    <row r="20" spans="1:11" x14ac:dyDescent="0.15">
      <c r="A20" s="93">
        <v>2</v>
      </c>
      <c r="B20" s="37">
        <f t="shared" ref="B20:B30" si="2">IF(A20&gt;Lease_Term,0,IPMT(Pretax_Rate,A20,Lease_Term,Total_Cost))*(1-Federal_Tax_Rate)</f>
        <v>-54253.300288605344</v>
      </c>
      <c r="C20" s="37">
        <f t="shared" si="0"/>
        <v>-52765.5470873183</v>
      </c>
      <c r="D20" s="85">
        <v>0.32</v>
      </c>
      <c r="E20" s="38">
        <f t="shared" ref="E20:E24" si="3">D20*$B$9</f>
        <v>320000</v>
      </c>
      <c r="F20" s="39">
        <f t="shared" ref="F20:F24" si="4">E20*$B$5</f>
        <v>128000</v>
      </c>
      <c r="G20" s="34"/>
      <c r="H20" s="36">
        <f t="shared" ref="H20:H29" si="5">B20+C20+F20</f>
        <v>20981.152624076349</v>
      </c>
      <c r="I20" s="128">
        <f t="shared" si="1"/>
        <v>-66000</v>
      </c>
      <c r="J20" s="81"/>
    </row>
    <row r="21" spans="1:11" x14ac:dyDescent="0.15">
      <c r="A21" s="93">
        <v>3</v>
      </c>
      <c r="B21" s="37">
        <f t="shared" si="2"/>
        <v>-51245.664104628195</v>
      </c>
      <c r="C21" s="37">
        <f t="shared" si="0"/>
        <v>-57778.274060613519</v>
      </c>
      <c r="D21" s="85">
        <v>0.192</v>
      </c>
      <c r="E21" s="38">
        <f t="shared" si="3"/>
        <v>192000</v>
      </c>
      <c r="F21" s="39">
        <f t="shared" si="4"/>
        <v>76800</v>
      </c>
      <c r="G21" s="34"/>
      <c r="H21" s="36">
        <f t="shared" si="5"/>
        <v>-32223.938165241707</v>
      </c>
      <c r="I21" s="128">
        <f t="shared" si="1"/>
        <v>-66000</v>
      </c>
      <c r="J21" s="81"/>
    </row>
    <row r="22" spans="1:11" x14ac:dyDescent="0.15">
      <c r="A22" s="93">
        <v>4</v>
      </c>
      <c r="B22" s="37">
        <f t="shared" si="2"/>
        <v>-47952.302483173233</v>
      </c>
      <c r="C22" s="37">
        <f t="shared" si="0"/>
        <v>-63267.210096371811</v>
      </c>
      <c r="D22" s="85">
        <v>0.1152</v>
      </c>
      <c r="E22" s="38">
        <f t="shared" si="3"/>
        <v>115200</v>
      </c>
      <c r="F22" s="39">
        <f t="shared" si="4"/>
        <v>46080</v>
      </c>
      <c r="G22" s="34"/>
      <c r="H22" s="36">
        <f t="shared" si="5"/>
        <v>-65139.512579545044</v>
      </c>
      <c r="I22" s="128">
        <f t="shared" si="1"/>
        <v>-66000</v>
      </c>
      <c r="J22" s="81"/>
    </row>
    <row r="23" spans="1:11" x14ac:dyDescent="0.15">
      <c r="A23" s="93">
        <v>5</v>
      </c>
      <c r="B23" s="37">
        <f t="shared" si="2"/>
        <v>-44346.071507680033</v>
      </c>
      <c r="C23" s="37">
        <f t="shared" si="0"/>
        <v>-69277.595055527141</v>
      </c>
      <c r="D23" s="85">
        <v>0.1152</v>
      </c>
      <c r="E23" s="38">
        <f t="shared" si="3"/>
        <v>115200</v>
      </c>
      <c r="F23" s="39">
        <f t="shared" si="4"/>
        <v>46080</v>
      </c>
      <c r="G23" s="34"/>
      <c r="H23" s="36">
        <f t="shared" si="5"/>
        <v>-67543.666563207167</v>
      </c>
      <c r="I23" s="128">
        <f t="shared" si="1"/>
        <v>-66000</v>
      </c>
      <c r="J23" s="81"/>
    </row>
    <row r="24" spans="1:11" x14ac:dyDescent="0.15">
      <c r="A24" s="93">
        <v>6</v>
      </c>
      <c r="B24" s="37">
        <f t="shared" si="2"/>
        <v>-40397.24858951498</v>
      </c>
      <c r="C24" s="37">
        <f t="shared" si="0"/>
        <v>-75858.966585802205</v>
      </c>
      <c r="D24" s="85">
        <v>5.7599999999999998E-2</v>
      </c>
      <c r="E24" s="38">
        <f t="shared" si="3"/>
        <v>57600</v>
      </c>
      <c r="F24" s="39">
        <f t="shared" si="4"/>
        <v>23040</v>
      </c>
      <c r="G24" s="34"/>
      <c r="H24" s="36">
        <f t="shared" si="5"/>
        <v>-93216.215175317193</v>
      </c>
      <c r="I24" s="128">
        <f t="shared" si="1"/>
        <v>-66000</v>
      </c>
      <c r="J24" s="81"/>
    </row>
    <row r="25" spans="1:11" x14ac:dyDescent="0.15">
      <c r="A25" s="93">
        <v>7</v>
      </c>
      <c r="B25" s="37">
        <f t="shared" si="2"/>
        <v>-36073.287494124263</v>
      </c>
      <c r="C25" s="37">
        <f t="shared" si="0"/>
        <v>-83065.568411453423</v>
      </c>
      <c r="D25" s="40"/>
      <c r="E25" s="34"/>
      <c r="F25" s="41"/>
      <c r="G25" s="34"/>
      <c r="H25" s="36">
        <f t="shared" si="5"/>
        <v>-119138.85590557769</v>
      </c>
      <c r="I25" s="128">
        <f t="shared" si="1"/>
        <v>-66000</v>
      </c>
      <c r="J25" s="81"/>
    </row>
    <row r="26" spans="1:11" x14ac:dyDescent="0.15">
      <c r="A26" s="93">
        <v>8</v>
      </c>
      <c r="B26" s="37">
        <f t="shared" si="2"/>
        <v>-31338.550094671424</v>
      </c>
      <c r="C26" s="37">
        <f t="shared" si="0"/>
        <v>-90956.797410541491</v>
      </c>
      <c r="D26" s="40"/>
      <c r="E26" s="34"/>
      <c r="F26" s="41"/>
      <c r="G26" s="34"/>
      <c r="H26" s="36">
        <f t="shared" si="5"/>
        <v>-122295.34750521291</v>
      </c>
      <c r="I26" s="128">
        <f t="shared" si="1"/>
        <v>-66000</v>
      </c>
      <c r="J26" s="81"/>
    </row>
    <row r="27" spans="1:11" x14ac:dyDescent="0.15">
      <c r="A27" s="93">
        <v>9</v>
      </c>
      <c r="B27" s="37">
        <f t="shared" si="2"/>
        <v>-26154.012642270562</v>
      </c>
      <c r="C27" s="37">
        <f t="shared" si="0"/>
        <v>-99597.693164542943</v>
      </c>
      <c r="D27" s="40"/>
      <c r="E27" s="34"/>
      <c r="F27" s="41"/>
      <c r="G27" s="34"/>
      <c r="H27" s="36">
        <f t="shared" si="5"/>
        <v>-125751.70580681351</v>
      </c>
      <c r="I27" s="128">
        <f t="shared" si="1"/>
        <v>-66000</v>
      </c>
      <c r="J27" s="81"/>
    </row>
    <row r="28" spans="1:11" x14ac:dyDescent="0.15">
      <c r="A28" s="93">
        <v>10</v>
      </c>
      <c r="B28" s="37">
        <f t="shared" si="2"/>
        <v>-20476.944131891611</v>
      </c>
      <c r="C28" s="37">
        <f t="shared" si="0"/>
        <v>-109059.47401517451</v>
      </c>
      <c r="D28" s="40"/>
      <c r="E28" s="34"/>
      <c r="F28" s="41"/>
      <c r="G28" s="34"/>
      <c r="H28" s="36">
        <f t="shared" si="5"/>
        <v>-129536.41814706611</v>
      </c>
      <c r="I28" s="128">
        <f t="shared" si="1"/>
        <v>-66000</v>
      </c>
      <c r="J28" s="81"/>
    </row>
    <row r="29" spans="1:11" x14ac:dyDescent="0.15">
      <c r="A29" s="93">
        <v>11</v>
      </c>
      <c r="B29" s="37">
        <f t="shared" si="2"/>
        <v>-14260.554113026661</v>
      </c>
      <c r="C29" s="37">
        <f t="shared" si="0"/>
        <v>-119420.1240466161</v>
      </c>
      <c r="D29" s="40"/>
      <c r="E29" s="34"/>
      <c r="F29" s="41"/>
      <c r="G29" s="34"/>
      <c r="H29" s="36">
        <f t="shared" si="5"/>
        <v>-133680.67815964276</v>
      </c>
      <c r="I29" s="128">
        <f t="shared" si="1"/>
        <v>-66000</v>
      </c>
      <c r="J29" s="81"/>
    </row>
    <row r="30" spans="1:11" x14ac:dyDescent="0.15">
      <c r="A30" s="129">
        <v>12</v>
      </c>
      <c r="B30" s="37">
        <f t="shared" si="2"/>
        <v>-7453.6070423695437</v>
      </c>
      <c r="C30" s="37">
        <f t="shared" si="0"/>
        <v>-130765.03583104462</v>
      </c>
      <c r="D30" s="42"/>
      <c r="E30" s="43"/>
      <c r="F30" s="44"/>
      <c r="G30" s="45">
        <f>B12*B9*(1-$B$5)</f>
        <v>30000</v>
      </c>
      <c r="H30" s="36">
        <f>B30+C30+G30</f>
        <v>-108218.64287341415</v>
      </c>
      <c r="I30" s="130"/>
      <c r="J30" s="81"/>
    </row>
    <row r="31" spans="1:11" ht="14" thickBot="1" x14ac:dyDescent="0.2">
      <c r="A31" s="131" t="s">
        <v>35</v>
      </c>
      <c r="B31" s="132">
        <f>SUM(B19:B30)</f>
        <v>-430951.5424919558</v>
      </c>
      <c r="C31" s="133"/>
      <c r="D31" s="134"/>
      <c r="E31" s="135">
        <f>SUM(E19:E24)</f>
        <v>1000000</v>
      </c>
      <c r="F31" s="136">
        <f>SUM(F19:F24)</f>
        <v>400000</v>
      </c>
      <c r="G31" s="137">
        <f>G30</f>
        <v>30000</v>
      </c>
      <c r="H31" s="138">
        <f>SUM(H18:H30)</f>
        <v>-1000951.5424919557</v>
      </c>
      <c r="I31" s="139">
        <f>SUM(I18:I29)</f>
        <v>-792000</v>
      </c>
      <c r="J31" s="82"/>
    </row>
    <row r="32" spans="1:11" x14ac:dyDescent="0.15">
      <c r="H32" s="101"/>
      <c r="I32" s="101"/>
    </row>
    <row r="33" spans="1:14" x14ac:dyDescent="0.15">
      <c r="G33" s="1" t="s">
        <v>22</v>
      </c>
      <c r="H33" s="113">
        <f>NPV($B$6*(1-$B$5),$H$19:$H$30)</f>
        <v>-640926.97437166725</v>
      </c>
      <c r="I33" s="113">
        <f>NPV($B$6*(1-$B$5),$I$19:$I$29)+$I$18</f>
        <v>-594614.31602895784</v>
      </c>
      <c r="J33" s="78"/>
    </row>
    <row r="34" spans="1:14" ht="14" thickBot="1" x14ac:dyDescent="0.2">
      <c r="H34" s="26"/>
      <c r="I34" s="26"/>
    </row>
    <row r="35" spans="1:14" ht="14" thickBot="1" x14ac:dyDescent="0.2">
      <c r="F35" s="158" t="s">
        <v>38</v>
      </c>
      <c r="G35" s="159"/>
      <c r="H35" s="125">
        <f>I33-H33</f>
        <v>46312.658342709416</v>
      </c>
      <c r="I35" s="26"/>
    </row>
    <row r="36" spans="1:14" ht="14" thickBot="1" x14ac:dyDescent="0.2">
      <c r="H36" s="26"/>
      <c r="I36" s="26"/>
    </row>
    <row r="37" spans="1:14" ht="15" thickBot="1" x14ac:dyDescent="0.2">
      <c r="F37" s="126" t="s">
        <v>60</v>
      </c>
      <c r="G37" s="122" t="s">
        <v>58</v>
      </c>
      <c r="H37" s="123" t="str">
        <f>IF($H$35&gt;0,"LEASE","BUY")</f>
        <v>LEASE</v>
      </c>
      <c r="I37" s="124" t="s">
        <v>59</v>
      </c>
    </row>
    <row r="38" spans="1:14" x14ac:dyDescent="0.15">
      <c r="H38" s="26"/>
    </row>
    <row r="40" spans="1:14" ht="14" thickBot="1" x14ac:dyDescent="0.2"/>
    <row r="41" spans="1:14" x14ac:dyDescent="0.15">
      <c r="A41" s="179" t="s">
        <v>20</v>
      </c>
      <c r="B41" s="180"/>
      <c r="D41" s="160" t="s">
        <v>42</v>
      </c>
      <c r="E41" s="161"/>
      <c r="F41" s="161"/>
      <c r="G41" s="162"/>
      <c r="I41" s="160" t="s">
        <v>52</v>
      </c>
      <c r="J41" s="161"/>
      <c r="K41" s="161"/>
      <c r="L41" s="162"/>
    </row>
    <row r="42" spans="1:14" x14ac:dyDescent="0.15">
      <c r="A42" s="145" t="s">
        <v>3</v>
      </c>
      <c r="B42" s="142">
        <f>Total_Cost</f>
        <v>1000000</v>
      </c>
    </row>
    <row r="43" spans="1:14" x14ac:dyDescent="0.15">
      <c r="A43" s="146" t="s">
        <v>44</v>
      </c>
      <c r="B43" s="128">
        <f>E31</f>
        <v>1000000</v>
      </c>
      <c r="E43" s="67"/>
      <c r="F43" s="114">
        <f>I33-H33</f>
        <v>46312.658342709416</v>
      </c>
      <c r="J43" s="75"/>
      <c r="K43" s="114">
        <f>I33-H33</f>
        <v>46312.658342709416</v>
      </c>
      <c r="N43" s="65"/>
    </row>
    <row r="44" spans="1:14" ht="14" thickBot="1" x14ac:dyDescent="0.2">
      <c r="A44" s="147" t="s">
        <v>21</v>
      </c>
      <c r="B44" s="144">
        <f>B42-B43</f>
        <v>0</v>
      </c>
      <c r="E44" s="118">
        <v>100000</v>
      </c>
      <c r="F44" s="37">
        <f t="dataTable" ref="F44:F66" dt2D="0" dtr="0" r1="B10" ca="1"/>
        <v>100368.50525443279</v>
      </c>
      <c r="J44" s="121">
        <f t="shared" ref="J44:J53" si="6">J45-0.005</f>
        <v>4.4999999999999984E-2</v>
      </c>
      <c r="K44" s="79">
        <f t="dataTable" ref="K44:K66" dt2D="0" dtr="0" r1="B6"/>
        <v>-80284.198158908868</v>
      </c>
      <c r="M44" s="10"/>
      <c r="N44" s="78"/>
    </row>
    <row r="45" spans="1:14" ht="14" thickBot="1" x14ac:dyDescent="0.2">
      <c r="E45" s="119">
        <v>101000</v>
      </c>
      <c r="F45" s="37">
        <v>94962.920563260443</v>
      </c>
      <c r="J45" s="121">
        <f t="shared" si="6"/>
        <v>4.9999999999999982E-2</v>
      </c>
      <c r="K45" s="79">
        <v>-66305.779834945337</v>
      </c>
      <c r="M45" s="10"/>
      <c r="N45" s="78"/>
    </row>
    <row r="46" spans="1:14" x14ac:dyDescent="0.15">
      <c r="A46" s="179" t="s">
        <v>16</v>
      </c>
      <c r="B46" s="180"/>
      <c r="E46" s="119">
        <v>102000</v>
      </c>
      <c r="F46" s="37">
        <v>89557.335872088093</v>
      </c>
      <c r="J46" s="121">
        <f t="shared" si="6"/>
        <v>5.4999999999999979E-2</v>
      </c>
      <c r="K46" s="79">
        <v>-52643.479859643267</v>
      </c>
      <c r="M46" s="10"/>
      <c r="N46" s="78"/>
    </row>
    <row r="47" spans="1:14" x14ac:dyDescent="0.15">
      <c r="A47" s="140" t="s">
        <v>3</v>
      </c>
      <c r="B47" s="142">
        <f>B42</f>
        <v>1000000</v>
      </c>
      <c r="E47" s="119">
        <v>103000</v>
      </c>
      <c r="F47" s="37">
        <v>84151.751180915744</v>
      </c>
      <c r="J47" s="121">
        <f t="shared" si="6"/>
        <v>5.9999999999999977E-2</v>
      </c>
      <c r="K47" s="79">
        <v>-39288.126584828831</v>
      </c>
      <c r="M47" s="10"/>
      <c r="N47" s="78"/>
    </row>
    <row r="48" spans="1:14" x14ac:dyDescent="0.15">
      <c r="A48" s="54" t="s">
        <v>17</v>
      </c>
      <c r="B48" s="128">
        <f>Residual_Value*Total_Cost</f>
        <v>50000</v>
      </c>
      <c r="E48" s="119">
        <v>104000</v>
      </c>
      <c r="F48" s="37">
        <v>78746.166489743395</v>
      </c>
      <c r="J48" s="121">
        <f t="shared" si="6"/>
        <v>6.4999999999999974E-2</v>
      </c>
      <c r="K48" s="79">
        <v>-26230.860264213639</v>
      </c>
      <c r="M48" s="10"/>
      <c r="N48" s="78"/>
    </row>
    <row r="49" spans="1:14" x14ac:dyDescent="0.15">
      <c r="A49" s="54" t="s">
        <v>18</v>
      </c>
      <c r="B49" s="143">
        <f>B44</f>
        <v>0</v>
      </c>
      <c r="E49" s="119">
        <v>105000</v>
      </c>
      <c r="F49" s="37">
        <v>73340.581798570929</v>
      </c>
      <c r="J49" s="121">
        <f t="shared" si="6"/>
        <v>6.9999999999999979E-2</v>
      </c>
      <c r="K49" s="79">
        <v>-13463.121137434035</v>
      </c>
      <c r="M49" s="10"/>
      <c r="N49" s="78"/>
    </row>
    <row r="50" spans="1:14" x14ac:dyDescent="0.15">
      <c r="A50" s="54" t="s">
        <v>19</v>
      </c>
      <c r="B50" s="128">
        <f>B48-B49</f>
        <v>50000</v>
      </c>
      <c r="E50" s="119">
        <v>106000</v>
      </c>
      <c r="F50" s="37">
        <v>67934.997107398696</v>
      </c>
      <c r="J50" s="121">
        <f t="shared" si="6"/>
        <v>7.4999999999999983E-2</v>
      </c>
      <c r="K50" s="79">
        <v>-976.63801373867318</v>
      </c>
      <c r="M50" s="10"/>
      <c r="N50" s="78"/>
    </row>
    <row r="51" spans="1:14" x14ac:dyDescent="0.15">
      <c r="A51" s="63" t="s">
        <v>24</v>
      </c>
      <c r="B51" s="128">
        <f>B50*B5</f>
        <v>20000</v>
      </c>
      <c r="E51" s="119">
        <v>107000</v>
      </c>
      <c r="F51" s="37">
        <v>62529.412416226231</v>
      </c>
      <c r="J51" s="121">
        <f t="shared" si="6"/>
        <v>7.9999999999999988E-2</v>
      </c>
      <c r="K51" s="79">
        <v>11236.58266734099</v>
      </c>
      <c r="M51" s="10"/>
      <c r="N51" s="78"/>
    </row>
    <row r="52" spans="1:14" ht="14" thickBot="1" x14ac:dyDescent="0.2">
      <c r="A52" s="58" t="s">
        <v>14</v>
      </c>
      <c r="B52" s="144">
        <f>B50-B51</f>
        <v>30000</v>
      </c>
      <c r="E52" s="119">
        <v>108000</v>
      </c>
      <c r="F52" s="37">
        <v>57123.827725053998</v>
      </c>
      <c r="J52" s="121">
        <f t="shared" si="6"/>
        <v>8.4999999999999992E-2</v>
      </c>
      <c r="K52" s="79">
        <v>23184.26731990173</v>
      </c>
      <c r="M52" s="10"/>
      <c r="N52" s="78"/>
    </row>
    <row r="53" spans="1:14" x14ac:dyDescent="0.15">
      <c r="E53" s="119">
        <v>109000</v>
      </c>
      <c r="F53" s="37">
        <v>51718.243033881532</v>
      </c>
      <c r="J53" s="121">
        <f t="shared" si="6"/>
        <v>0.09</v>
      </c>
      <c r="K53" s="79">
        <v>34873.885260682437</v>
      </c>
      <c r="M53" s="10"/>
      <c r="N53" s="78"/>
    </row>
    <row r="54" spans="1:14" x14ac:dyDescent="0.15">
      <c r="E54" s="119">
        <v>110000</v>
      </c>
      <c r="F54" s="37">
        <v>46312.658342709416</v>
      </c>
      <c r="J54" s="121">
        <v>9.5000000000000001E-2</v>
      </c>
      <c r="K54" s="79">
        <v>46312.658342709416</v>
      </c>
      <c r="M54" s="76"/>
      <c r="N54" s="78"/>
    </row>
    <row r="55" spans="1:14" x14ac:dyDescent="0.15">
      <c r="B55" s="15"/>
      <c r="E55" s="119">
        <v>111000</v>
      </c>
      <c r="F55" s="37">
        <v>40907.073651537066</v>
      </c>
      <c r="J55" s="121">
        <f t="shared" ref="J55:J66" si="7">J54+0.005</f>
        <v>0.1</v>
      </c>
      <c r="K55" s="79">
        <v>57507.57019215601</v>
      </c>
      <c r="M55" s="77"/>
      <c r="N55" s="78"/>
    </row>
    <row r="56" spans="1:14" x14ac:dyDescent="0.15">
      <c r="A56" s="16"/>
      <c r="B56" s="16"/>
      <c r="E56" s="119">
        <v>112000</v>
      </c>
      <c r="F56" s="37">
        <v>35501.488960364601</v>
      </c>
      <c r="J56" s="121">
        <f t="shared" si="7"/>
        <v>0.10500000000000001</v>
      </c>
      <c r="K56" s="79">
        <v>68465.375066126115</v>
      </c>
      <c r="M56" s="77"/>
      <c r="N56" s="78"/>
    </row>
    <row r="57" spans="1:14" x14ac:dyDescent="0.15">
      <c r="A57" s="16"/>
      <c r="B57" s="16"/>
      <c r="E57" s="119">
        <v>113000</v>
      </c>
      <c r="F57" s="37">
        <v>30095.904269192368</v>
      </c>
      <c r="J57" s="121">
        <f t="shared" si="7"/>
        <v>0.11000000000000001</v>
      </c>
      <c r="K57" s="79">
        <v>79192.606348200585</v>
      </c>
      <c r="M57" s="77"/>
      <c r="N57" s="78"/>
    </row>
    <row r="58" spans="1:14" x14ac:dyDescent="0.15">
      <c r="A58" s="17"/>
      <c r="B58" s="18"/>
      <c r="E58" s="119">
        <v>114000</v>
      </c>
      <c r="F58" s="37">
        <v>24690.319578020019</v>
      </c>
      <c r="J58" s="121">
        <f t="shared" si="7"/>
        <v>0.11500000000000002</v>
      </c>
      <c r="K58" s="79">
        <v>89695.584697801853</v>
      </c>
      <c r="M58" s="77"/>
      <c r="N58" s="78"/>
    </row>
    <row r="59" spans="1:14" x14ac:dyDescent="0.15">
      <c r="A59" s="17"/>
      <c r="B59" s="19"/>
      <c r="E59" s="119">
        <v>115000</v>
      </c>
      <c r="F59" s="37">
        <v>19284.734886847669</v>
      </c>
      <c r="J59" s="121">
        <f t="shared" si="7"/>
        <v>0.12000000000000002</v>
      </c>
      <c r="K59" s="79">
        <v>99980.425868655671</v>
      </c>
      <c r="M59" s="77"/>
      <c r="N59" s="78"/>
    </row>
    <row r="60" spans="1:14" x14ac:dyDescent="0.15">
      <c r="A60" s="16"/>
      <c r="B60" s="18"/>
      <c r="E60" s="119">
        <v>116000</v>
      </c>
      <c r="F60" s="37">
        <v>13879.150195675204</v>
      </c>
      <c r="J60" s="121">
        <f t="shared" si="7"/>
        <v>0.12500000000000003</v>
      </c>
      <c r="K60" s="79">
        <v>110053.0482109224</v>
      </c>
      <c r="M60" s="77"/>
      <c r="N60" s="78"/>
    </row>
    <row r="61" spans="1:14" x14ac:dyDescent="0.15">
      <c r="E61" s="119">
        <v>117000</v>
      </c>
      <c r="F61" s="37">
        <v>8473.5655045028543</v>
      </c>
      <c r="J61" s="121">
        <f t="shared" si="7"/>
        <v>0.13000000000000003</v>
      </c>
      <c r="K61" s="79">
        <v>119919.17987085646</v>
      </c>
      <c r="M61" s="77"/>
      <c r="N61" s="78"/>
    </row>
    <row r="62" spans="1:14" x14ac:dyDescent="0.15">
      <c r="E62" s="119">
        <v>118000</v>
      </c>
      <c r="F62" s="37">
        <v>3067.9808133306215</v>
      </c>
      <c r="J62" s="121">
        <f t="shared" si="7"/>
        <v>0.13500000000000004</v>
      </c>
      <c r="K62" s="79">
        <v>129584.36570123269</v>
      </c>
      <c r="M62" s="77"/>
      <c r="N62" s="78"/>
    </row>
    <row r="63" spans="1:14" x14ac:dyDescent="0.15">
      <c r="E63" s="119">
        <v>119000</v>
      </c>
      <c r="F63" s="37">
        <v>-2337.6038778417278</v>
      </c>
      <c r="J63" s="121">
        <f t="shared" si="7"/>
        <v>0.14000000000000004</v>
      </c>
      <c r="K63" s="79">
        <v>139053.97389512265</v>
      </c>
    </row>
    <row r="64" spans="1:14" x14ac:dyDescent="0.15">
      <c r="E64" s="119">
        <v>120000</v>
      </c>
      <c r="F64" s="37">
        <v>-7743.1885690140771</v>
      </c>
      <c r="J64" s="121">
        <f t="shared" si="7"/>
        <v>0.14500000000000005</v>
      </c>
      <c r="K64" s="79">
        <v>148333.20235505182</v>
      </c>
    </row>
    <row r="65" spans="5:11" x14ac:dyDescent="0.15">
      <c r="E65" s="119">
        <v>121000</v>
      </c>
      <c r="F65" s="37">
        <v>-13148.773260186543</v>
      </c>
      <c r="J65" s="121">
        <f t="shared" si="7"/>
        <v>0.15000000000000005</v>
      </c>
      <c r="K65" s="79">
        <v>157427.08480897313</v>
      </c>
    </row>
    <row r="66" spans="5:11" x14ac:dyDescent="0.15">
      <c r="E66" s="120">
        <v>122000</v>
      </c>
      <c r="F66" s="66">
        <v>-18554.357951358776</v>
      </c>
      <c r="J66" s="153">
        <f t="shared" si="7"/>
        <v>0.15500000000000005</v>
      </c>
      <c r="K66" s="80">
        <v>166340.49668399029</v>
      </c>
    </row>
    <row r="91" spans="5:13" x14ac:dyDescent="0.15">
      <c r="E91" s="157" t="s">
        <v>53</v>
      </c>
      <c r="F91" s="157"/>
      <c r="G91" s="157"/>
      <c r="K91" s="157" t="s">
        <v>53</v>
      </c>
      <c r="L91" s="157"/>
      <c r="M91" s="157"/>
    </row>
    <row r="92" spans="5:13" x14ac:dyDescent="0.15">
      <c r="E92" s="157" t="s">
        <v>57</v>
      </c>
      <c r="F92" s="157"/>
      <c r="G92" s="157"/>
      <c r="K92" s="157" t="s">
        <v>57</v>
      </c>
      <c r="L92" s="157"/>
      <c r="M92" s="157"/>
    </row>
  </sheetData>
  <mergeCells count="26">
    <mergeCell ref="A1:I1"/>
    <mergeCell ref="A41:B41"/>
    <mergeCell ref="A46:B46"/>
    <mergeCell ref="G14:G17"/>
    <mergeCell ref="H14:H17"/>
    <mergeCell ref="I14:I17"/>
    <mergeCell ref="A4:B4"/>
    <mergeCell ref="F14:F17"/>
    <mergeCell ref="C14:C17"/>
    <mergeCell ref="D14:D17"/>
    <mergeCell ref="E14:E17"/>
    <mergeCell ref="A14:A17"/>
    <mergeCell ref="B14:B17"/>
    <mergeCell ref="I41:L41"/>
    <mergeCell ref="J14:J17"/>
    <mergeCell ref="D5:F7"/>
    <mergeCell ref="G5:G7"/>
    <mergeCell ref="D4:G4"/>
    <mergeCell ref="E92:G92"/>
    <mergeCell ref="D8:F10"/>
    <mergeCell ref="G8:G10"/>
    <mergeCell ref="K92:M92"/>
    <mergeCell ref="F35:G35"/>
    <mergeCell ref="E91:G91"/>
    <mergeCell ref="K91:M91"/>
    <mergeCell ref="D41:G41"/>
  </mergeCells>
  <phoneticPr fontId="2" type="noConversion"/>
  <conditionalFormatting sqref="K44:K66">
    <cfRule type="cellIs" dxfId="3" priority="6" operator="lessThan">
      <formula>0</formula>
    </cfRule>
  </conditionalFormatting>
  <conditionalFormatting sqref="F44:F66">
    <cfRule type="cellIs" dxfId="2" priority="5" operator="lessThan">
      <formula>0</formula>
    </cfRule>
  </conditionalFormatting>
  <conditionalFormatting sqref="H33:I33">
    <cfRule type="cellIs" dxfId="1" priority="4" operator="lessThan">
      <formula>0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D97"/>
  <sheetViews>
    <sheetView workbookViewId="0">
      <selection activeCell="F53" sqref="F53"/>
    </sheetView>
  </sheetViews>
  <sheetFormatPr baseColWidth="10" defaultColWidth="8.83203125" defaultRowHeight="13" x14ac:dyDescent="0.15"/>
  <cols>
    <col min="1" max="1" width="29.6640625" bestFit="1" customWidth="1"/>
    <col min="2" max="2" width="14.5" customWidth="1"/>
    <col min="3" max="3" width="12.33203125" bestFit="1" customWidth="1"/>
    <col min="4" max="4" width="16.1640625" customWidth="1"/>
    <col min="5" max="5" width="17.33203125" customWidth="1"/>
    <col min="6" max="6" width="12.33203125" bestFit="1" customWidth="1"/>
    <col min="7" max="7" width="12.5" bestFit="1" customWidth="1"/>
    <col min="8" max="8" width="14" bestFit="1" customWidth="1"/>
    <col min="9" max="9" width="12.83203125" bestFit="1" customWidth="1"/>
    <col min="11" max="11" width="11.5" bestFit="1" customWidth="1"/>
    <col min="12" max="12" width="12.83203125" bestFit="1" customWidth="1"/>
    <col min="13" max="13" width="13.33203125" bestFit="1" customWidth="1"/>
    <col min="14" max="14" width="12.83203125" bestFit="1" customWidth="1"/>
    <col min="15" max="19" width="13" bestFit="1" customWidth="1"/>
  </cols>
  <sheetData>
    <row r="1" spans="1:10" ht="18" x14ac:dyDescent="0.2">
      <c r="A1" s="213" t="s">
        <v>37</v>
      </c>
      <c r="B1" s="214"/>
      <c r="C1" s="214"/>
      <c r="D1" s="214"/>
      <c r="E1" s="214"/>
      <c r="F1" s="214"/>
      <c r="G1" s="214"/>
      <c r="H1" s="214"/>
      <c r="I1" s="215"/>
    </row>
    <row r="2" spans="1:10" ht="19" thickBot="1" x14ac:dyDescent="0.25">
      <c r="A2" s="8"/>
      <c r="B2" s="8"/>
      <c r="C2" s="8"/>
      <c r="D2" s="8"/>
      <c r="E2" s="8"/>
      <c r="F2" s="8"/>
      <c r="G2" s="8"/>
      <c r="H2" s="8"/>
      <c r="I2" s="8"/>
    </row>
    <row r="3" spans="1:10" ht="14" thickBot="1" x14ac:dyDescent="0.2">
      <c r="A3" s="83" t="s">
        <v>46</v>
      </c>
      <c r="B3" s="104">
        <v>1000000</v>
      </c>
      <c r="C3" s="3"/>
      <c r="D3" s="3"/>
      <c r="E3" s="3"/>
      <c r="F3" s="3"/>
      <c r="G3" s="3"/>
      <c r="H3" s="3"/>
      <c r="I3" s="3"/>
    </row>
    <row r="4" spans="1:10" x14ac:dyDescent="0.15">
      <c r="A4" s="56" t="s">
        <v>47</v>
      </c>
      <c r="B4" s="148">
        <v>12</v>
      </c>
      <c r="C4" s="3"/>
      <c r="D4" s="164" t="s">
        <v>56</v>
      </c>
      <c r="E4" s="165"/>
      <c r="F4" s="165"/>
      <c r="G4" s="166"/>
      <c r="H4" s="3"/>
      <c r="I4" s="3"/>
    </row>
    <row r="5" spans="1:10" ht="13" customHeight="1" x14ac:dyDescent="0.15">
      <c r="A5" s="56" t="s">
        <v>48</v>
      </c>
      <c r="B5" s="84">
        <v>200000</v>
      </c>
      <c r="C5" s="3"/>
      <c r="D5" s="216" t="s">
        <v>55</v>
      </c>
      <c r="E5" s="217"/>
      <c r="F5" s="217"/>
      <c r="G5" s="218">
        <v>103420.76184221392</v>
      </c>
      <c r="H5" s="3"/>
      <c r="I5" s="3"/>
    </row>
    <row r="6" spans="1:10" x14ac:dyDescent="0.15">
      <c r="A6" s="56" t="s">
        <v>49</v>
      </c>
      <c r="B6" s="84">
        <f>B3-B5</f>
        <v>800000</v>
      </c>
      <c r="C6" s="7"/>
      <c r="D6" s="216"/>
      <c r="E6" s="217"/>
      <c r="F6" s="217"/>
      <c r="G6" s="218"/>
      <c r="H6" s="3"/>
      <c r="I6" s="3"/>
    </row>
    <row r="7" spans="1:10" x14ac:dyDescent="0.15">
      <c r="A7" s="56" t="s">
        <v>50</v>
      </c>
      <c r="B7" s="85">
        <v>0.06</v>
      </c>
      <c r="C7" s="3"/>
      <c r="D7" s="216"/>
      <c r="E7" s="217"/>
      <c r="F7" s="217"/>
      <c r="G7" s="218"/>
      <c r="H7" s="3"/>
      <c r="I7" s="3"/>
    </row>
    <row r="8" spans="1:10" x14ac:dyDescent="0.15">
      <c r="A8" s="56" t="s">
        <v>51</v>
      </c>
      <c r="B8" s="86">
        <v>110000</v>
      </c>
      <c r="C8" s="4"/>
      <c r="D8" s="219" t="s">
        <v>62</v>
      </c>
      <c r="E8" s="220"/>
      <c r="F8" s="221"/>
      <c r="G8" s="225">
        <v>150000</v>
      </c>
      <c r="H8" s="3"/>
      <c r="I8" s="4"/>
    </row>
    <row r="9" spans="1:10" ht="14" thickBot="1" x14ac:dyDescent="0.2">
      <c r="A9" s="56" t="s">
        <v>1</v>
      </c>
      <c r="B9" s="85">
        <v>0.4</v>
      </c>
      <c r="C9" s="3"/>
      <c r="D9" s="222"/>
      <c r="E9" s="223"/>
      <c r="F9" s="224"/>
      <c r="G9" s="226"/>
      <c r="H9" s="3"/>
      <c r="I9" s="3"/>
    </row>
    <row r="10" spans="1:10" ht="14" thickBot="1" x14ac:dyDescent="0.2">
      <c r="A10" s="58" t="s">
        <v>15</v>
      </c>
      <c r="B10" s="87">
        <v>0.05</v>
      </c>
      <c r="C10" s="3"/>
      <c r="D10" s="3"/>
      <c r="E10" s="3"/>
      <c r="F10" s="3"/>
      <c r="G10" s="3"/>
      <c r="H10" s="3"/>
      <c r="I10" s="3"/>
    </row>
    <row r="11" spans="1:10" ht="14" thickBot="1" x14ac:dyDescent="0.2">
      <c r="A11" s="2"/>
      <c r="B11" s="23"/>
      <c r="C11" s="3"/>
      <c r="D11" s="3"/>
      <c r="E11" s="3"/>
      <c r="F11" s="3"/>
      <c r="G11" s="3"/>
      <c r="H11" s="3"/>
      <c r="I11" s="3"/>
    </row>
    <row r="12" spans="1:10" ht="42" x14ac:dyDescent="0.15">
      <c r="A12" s="88" t="s">
        <v>5</v>
      </c>
      <c r="B12" s="89" t="s">
        <v>26</v>
      </c>
      <c r="C12" s="90" t="s">
        <v>45</v>
      </c>
      <c r="D12" s="91" t="s">
        <v>27</v>
      </c>
      <c r="E12" s="90" t="s">
        <v>28</v>
      </c>
      <c r="F12" s="90" t="s">
        <v>29</v>
      </c>
      <c r="G12" s="90" t="s">
        <v>25</v>
      </c>
      <c r="H12" s="90" t="s">
        <v>30</v>
      </c>
      <c r="I12" s="92" t="s">
        <v>31</v>
      </c>
      <c r="J12" s="5"/>
    </row>
    <row r="13" spans="1:10" x14ac:dyDescent="0.15">
      <c r="A13" s="93">
        <v>0</v>
      </c>
      <c r="B13" s="51">
        <f>-Equity</f>
        <v>-200000</v>
      </c>
      <c r="C13" s="47">
        <f t="shared" ref="C13:C24" si="0">(1-Tax_Rate)*Annual_Lease_pmt</f>
        <v>66000</v>
      </c>
      <c r="D13" s="53"/>
      <c r="E13" s="46"/>
      <c r="F13" s="46"/>
      <c r="G13" s="46"/>
      <c r="H13" s="46"/>
      <c r="I13" s="94">
        <f>B13+C13</f>
        <v>-134000</v>
      </c>
    </row>
    <row r="14" spans="1:10" x14ac:dyDescent="0.15">
      <c r="A14" s="93">
        <v>1</v>
      </c>
      <c r="B14" s="52"/>
      <c r="C14" s="47">
        <f t="shared" si="0"/>
        <v>66000</v>
      </c>
      <c r="D14" s="119">
        <f>'NAL Analysis'!F19</f>
        <v>80000</v>
      </c>
      <c r="E14" s="149">
        <f>B6</f>
        <v>800000</v>
      </c>
      <c r="F14" s="149">
        <f>-PMT($B$7,$B$4,$B$6)</f>
        <v>95421.623504530929</v>
      </c>
      <c r="G14" s="149">
        <f>-IPMT($B$7,A14,$B$4,$B$6)</f>
        <v>48000</v>
      </c>
      <c r="H14" s="149">
        <f>F14-G14</f>
        <v>47421.623504530929</v>
      </c>
      <c r="I14" s="95">
        <f>C14+D14-(1-$B$9)*G14-H14</f>
        <v>69778.376495469071</v>
      </c>
    </row>
    <row r="15" spans="1:10" x14ac:dyDescent="0.15">
      <c r="A15" s="93">
        <v>2</v>
      </c>
      <c r="B15" s="52"/>
      <c r="C15" s="47">
        <f t="shared" si="0"/>
        <v>66000</v>
      </c>
      <c r="D15" s="119">
        <f>'NAL Analysis'!F20</f>
        <v>128000</v>
      </c>
      <c r="E15" s="149">
        <f>E14-H14</f>
        <v>752578.37649546913</v>
      </c>
      <c r="F15" s="149">
        <f t="shared" ref="F15:F25" si="1">-PMT($B$7,$B$4,$B$6)</f>
        <v>95421.623504530929</v>
      </c>
      <c r="G15" s="149">
        <f t="shared" ref="G15:G25" si="2">-IPMT($B$7,A15,$B$4,$B$6)</f>
        <v>45154.702589728149</v>
      </c>
      <c r="H15" s="149">
        <f t="shared" ref="H15:H25" si="3">F15-G15</f>
        <v>50266.92091480278</v>
      </c>
      <c r="I15" s="95">
        <f t="shared" ref="I15:I25" si="4">C15+D15-(1-$B$9)*G15-H15</f>
        <v>116640.25753136032</v>
      </c>
    </row>
    <row r="16" spans="1:10" x14ac:dyDescent="0.15">
      <c r="A16" s="93">
        <v>3</v>
      </c>
      <c r="B16" s="52"/>
      <c r="C16" s="47">
        <f t="shared" si="0"/>
        <v>66000</v>
      </c>
      <c r="D16" s="119">
        <f>'NAL Analysis'!F21</f>
        <v>76800</v>
      </c>
      <c r="E16" s="149">
        <f t="shared" ref="E16:E25" si="5">E15-H15</f>
        <v>702311.45558066631</v>
      </c>
      <c r="F16" s="149">
        <f t="shared" si="1"/>
        <v>95421.623504530929</v>
      </c>
      <c r="G16" s="149">
        <f t="shared" si="2"/>
        <v>42138.687334839975</v>
      </c>
      <c r="H16" s="149">
        <f t="shared" si="3"/>
        <v>53282.936169690955</v>
      </c>
      <c r="I16" s="95">
        <f t="shared" si="4"/>
        <v>64233.851429405062</v>
      </c>
    </row>
    <row r="17" spans="1:11" x14ac:dyDescent="0.15">
      <c r="A17" s="93">
        <v>4</v>
      </c>
      <c r="B17" s="52"/>
      <c r="C17" s="47">
        <f t="shared" si="0"/>
        <v>66000</v>
      </c>
      <c r="D17" s="119">
        <f>'NAL Analysis'!F22</f>
        <v>46080</v>
      </c>
      <c r="E17" s="149">
        <f t="shared" si="5"/>
        <v>649028.51941097539</v>
      </c>
      <c r="F17" s="149">
        <f t="shared" si="1"/>
        <v>95421.623504530929</v>
      </c>
      <c r="G17" s="149">
        <f t="shared" si="2"/>
        <v>38941.711164658525</v>
      </c>
      <c r="H17" s="149">
        <f t="shared" si="3"/>
        <v>56479.912339872404</v>
      </c>
      <c r="I17" s="95">
        <f t="shared" si="4"/>
        <v>32235.060961332478</v>
      </c>
    </row>
    <row r="18" spans="1:11" x14ac:dyDescent="0.15">
      <c r="A18" s="93">
        <v>5</v>
      </c>
      <c r="B18" s="52"/>
      <c r="C18" s="47">
        <f t="shared" si="0"/>
        <v>66000</v>
      </c>
      <c r="D18" s="119">
        <f>'NAL Analysis'!F23</f>
        <v>46080</v>
      </c>
      <c r="E18" s="149">
        <f t="shared" si="5"/>
        <v>592548.60707110295</v>
      </c>
      <c r="F18" s="149">
        <f t="shared" si="1"/>
        <v>95421.623504530929</v>
      </c>
      <c r="G18" s="149">
        <f t="shared" si="2"/>
        <v>35552.916424266172</v>
      </c>
      <c r="H18" s="149">
        <f t="shared" si="3"/>
        <v>59868.707080264758</v>
      </c>
      <c r="I18" s="95">
        <f t="shared" si="4"/>
        <v>30879.543065175538</v>
      </c>
    </row>
    <row r="19" spans="1:11" x14ac:dyDescent="0.15">
      <c r="A19" s="93">
        <v>6</v>
      </c>
      <c r="B19" s="52"/>
      <c r="C19" s="47">
        <f t="shared" si="0"/>
        <v>66000</v>
      </c>
      <c r="D19" s="119">
        <f>'NAL Analysis'!F24</f>
        <v>23040</v>
      </c>
      <c r="E19" s="149">
        <f t="shared" si="5"/>
        <v>532679.89999083814</v>
      </c>
      <c r="F19" s="149">
        <f t="shared" si="1"/>
        <v>95421.623504530929</v>
      </c>
      <c r="G19" s="149">
        <f t="shared" si="2"/>
        <v>31960.793999450296</v>
      </c>
      <c r="H19" s="149">
        <f t="shared" si="3"/>
        <v>63460.829505080634</v>
      </c>
      <c r="I19" s="95">
        <f t="shared" si="4"/>
        <v>6402.6940952491859</v>
      </c>
    </row>
    <row r="20" spans="1:11" x14ac:dyDescent="0.15">
      <c r="A20" s="93">
        <v>7</v>
      </c>
      <c r="B20" s="52"/>
      <c r="C20" s="47">
        <f t="shared" si="0"/>
        <v>66000</v>
      </c>
      <c r="D20" s="53"/>
      <c r="E20" s="149">
        <f t="shared" si="5"/>
        <v>469219.07048575749</v>
      </c>
      <c r="F20" s="149">
        <f t="shared" si="1"/>
        <v>95421.623504530929</v>
      </c>
      <c r="G20" s="149">
        <f t="shared" si="2"/>
        <v>28153.144229145451</v>
      </c>
      <c r="H20" s="149">
        <f t="shared" si="3"/>
        <v>67268.479275385471</v>
      </c>
      <c r="I20" s="95">
        <f t="shared" si="4"/>
        <v>-18160.36581287274</v>
      </c>
    </row>
    <row r="21" spans="1:11" x14ac:dyDescent="0.15">
      <c r="A21" s="93">
        <v>8</v>
      </c>
      <c r="B21" s="52"/>
      <c r="C21" s="47">
        <f t="shared" si="0"/>
        <v>66000</v>
      </c>
      <c r="D21" s="53"/>
      <c r="E21" s="149">
        <f t="shared" si="5"/>
        <v>401950.59121037205</v>
      </c>
      <c r="F21" s="149">
        <f t="shared" si="1"/>
        <v>95421.623504530929</v>
      </c>
      <c r="G21" s="149">
        <f t="shared" si="2"/>
        <v>24117.035472622334</v>
      </c>
      <c r="H21" s="149">
        <f t="shared" si="3"/>
        <v>71304.588031908599</v>
      </c>
      <c r="I21" s="95">
        <f t="shared" si="4"/>
        <v>-19774.809315482002</v>
      </c>
    </row>
    <row r="22" spans="1:11" x14ac:dyDescent="0.15">
      <c r="A22" s="93">
        <v>9</v>
      </c>
      <c r="B22" s="52"/>
      <c r="C22" s="47">
        <f t="shared" si="0"/>
        <v>66000</v>
      </c>
      <c r="D22" s="53"/>
      <c r="E22" s="149">
        <f t="shared" si="5"/>
        <v>330646.00317846343</v>
      </c>
      <c r="F22" s="149">
        <f t="shared" si="1"/>
        <v>95421.623504530929</v>
      </c>
      <c r="G22" s="149">
        <f t="shared" si="2"/>
        <v>19838.760190707817</v>
      </c>
      <c r="H22" s="149">
        <f t="shared" si="3"/>
        <v>75582.863313823109</v>
      </c>
      <c r="I22" s="95">
        <f t="shared" si="4"/>
        <v>-21486.119428247795</v>
      </c>
    </row>
    <row r="23" spans="1:11" x14ac:dyDescent="0.15">
      <c r="A23" s="93">
        <v>10</v>
      </c>
      <c r="B23" s="52"/>
      <c r="C23" s="47">
        <f t="shared" si="0"/>
        <v>66000</v>
      </c>
      <c r="D23" s="53"/>
      <c r="E23" s="149">
        <f t="shared" si="5"/>
        <v>255063.13986464031</v>
      </c>
      <c r="F23" s="149">
        <f t="shared" si="1"/>
        <v>95421.623504530929</v>
      </c>
      <c r="G23" s="149">
        <f t="shared" si="2"/>
        <v>15303.788391878425</v>
      </c>
      <c r="H23" s="149">
        <f t="shared" si="3"/>
        <v>80117.835112652509</v>
      </c>
      <c r="I23" s="95">
        <f t="shared" si="4"/>
        <v>-23300.108147779567</v>
      </c>
    </row>
    <row r="24" spans="1:11" x14ac:dyDescent="0.15">
      <c r="A24" s="93">
        <v>11</v>
      </c>
      <c r="B24" s="52"/>
      <c r="C24" s="47">
        <f t="shared" si="0"/>
        <v>66000</v>
      </c>
      <c r="D24" s="53"/>
      <c r="E24" s="149">
        <f t="shared" si="5"/>
        <v>174945.3047519878</v>
      </c>
      <c r="F24" s="149">
        <f t="shared" si="1"/>
        <v>95421.623504530929</v>
      </c>
      <c r="G24" s="149">
        <f t="shared" si="2"/>
        <v>10496.718285119277</v>
      </c>
      <c r="H24" s="149">
        <f t="shared" si="3"/>
        <v>84924.905219411652</v>
      </c>
      <c r="I24" s="95">
        <f t="shared" si="4"/>
        <v>-25222.936190483219</v>
      </c>
    </row>
    <row r="25" spans="1:11" ht="14" thickBot="1" x14ac:dyDescent="0.2">
      <c r="A25" s="96">
        <v>12</v>
      </c>
      <c r="B25" s="97"/>
      <c r="C25" s="98">
        <f>B39</f>
        <v>30000</v>
      </c>
      <c r="D25" s="99"/>
      <c r="E25" s="150">
        <f t="shared" si="5"/>
        <v>90020.39953257615</v>
      </c>
      <c r="F25" s="150">
        <f t="shared" si="1"/>
        <v>95421.623504530929</v>
      </c>
      <c r="G25" s="150">
        <f t="shared" si="2"/>
        <v>5401.2239719545805</v>
      </c>
      <c r="H25" s="150">
        <f t="shared" si="3"/>
        <v>90020.399532576354</v>
      </c>
      <c r="I25" s="100">
        <f t="shared" si="4"/>
        <v>-63261.133915749102</v>
      </c>
    </row>
    <row r="26" spans="1:11" x14ac:dyDescent="0.15">
      <c r="B26" s="24"/>
      <c r="C26" s="25"/>
      <c r="D26" s="49"/>
      <c r="E26" s="48"/>
      <c r="F26" s="48"/>
      <c r="G26" s="48"/>
      <c r="H26" s="49"/>
      <c r="I26" s="25"/>
    </row>
    <row r="27" spans="1:11" ht="14" thickBot="1" x14ac:dyDescent="0.2">
      <c r="A27" s="3"/>
      <c r="B27" s="6"/>
      <c r="C27" s="6"/>
      <c r="D27" s="50"/>
      <c r="E27" s="50"/>
      <c r="F27" s="50"/>
    </row>
    <row r="28" spans="1:11" ht="14" thickBot="1" x14ac:dyDescent="0.2">
      <c r="A28" s="207" t="s">
        <v>20</v>
      </c>
      <c r="B28" s="208"/>
      <c r="C28" s="6"/>
      <c r="D28" s="6"/>
      <c r="E28" s="6"/>
      <c r="F28" s="6"/>
      <c r="G28" s="211" t="s">
        <v>34</v>
      </c>
      <c r="H28" s="212"/>
      <c r="I28" s="116">
        <f>NPV($B$7*(1-$B$9),$I$14:$I$25)+$I$13</f>
        <v>39288.126584828831</v>
      </c>
    </row>
    <row r="29" spans="1:11" ht="14" thickBot="1" x14ac:dyDescent="0.2">
      <c r="A29" s="54" t="s">
        <v>3</v>
      </c>
      <c r="B29" s="55">
        <f>B3</f>
        <v>1000000</v>
      </c>
      <c r="C29" s="3"/>
      <c r="D29" s="6"/>
      <c r="E29" s="3"/>
      <c r="F29" s="3"/>
      <c r="G29" s="3"/>
      <c r="H29" s="3"/>
      <c r="I29" s="48"/>
    </row>
    <row r="30" spans="1:11" ht="14" thickBot="1" x14ac:dyDescent="0.2">
      <c r="A30" s="56" t="s">
        <v>44</v>
      </c>
      <c r="B30" s="57">
        <f>B3</f>
        <v>1000000</v>
      </c>
      <c r="C30" s="3"/>
      <c r="D30" s="3"/>
      <c r="E30" s="3"/>
      <c r="F30" s="9"/>
      <c r="G30" s="209" t="s">
        <v>33</v>
      </c>
      <c r="H30" s="210"/>
      <c r="I30" s="117">
        <f>IF(IRR($I$13:$I$25,0)&lt;0,IF(IRR($I$13:$I$25,1)&lt;0,IRR($I$13:$I$25,2),IRR($I$13:$I$25,1)),IRR($I$13:$I$25,0))</f>
        <v>0.44163211026109317</v>
      </c>
      <c r="J30" s="10"/>
      <c r="K30" s="10"/>
    </row>
    <row r="31" spans="1:11" ht="14" thickBot="1" x14ac:dyDescent="0.2">
      <c r="A31" s="58" t="s">
        <v>21</v>
      </c>
      <c r="B31" s="59">
        <f>B29-B30</f>
        <v>0</v>
      </c>
      <c r="C31" s="3"/>
      <c r="D31" s="3"/>
      <c r="E31" s="3"/>
      <c r="F31" s="9"/>
      <c r="G31" s="12"/>
      <c r="H31" s="13"/>
      <c r="I31" s="73"/>
      <c r="J31" s="105"/>
    </row>
    <row r="32" spans="1:11" ht="14" thickBot="1" x14ac:dyDescent="0.2">
      <c r="C32" s="3"/>
      <c r="F32" s="9"/>
      <c r="G32" s="227" t="s">
        <v>43</v>
      </c>
      <c r="H32" s="228"/>
      <c r="I32" s="14"/>
    </row>
    <row r="33" spans="1:30" ht="13" customHeight="1" x14ac:dyDescent="0.15">
      <c r="A33" s="207" t="s">
        <v>16</v>
      </c>
      <c r="B33" s="208"/>
      <c r="C33" s="3"/>
      <c r="D33" s="160" t="s">
        <v>41</v>
      </c>
      <c r="E33" s="162"/>
      <c r="F33" s="9"/>
      <c r="G33" s="229"/>
      <c r="H33" s="230"/>
      <c r="I33" s="152"/>
    </row>
    <row r="34" spans="1:30" x14ac:dyDescent="0.15">
      <c r="A34" s="54" t="s">
        <v>3</v>
      </c>
      <c r="B34" s="60">
        <f>B30</f>
        <v>1000000</v>
      </c>
      <c r="C34" s="3"/>
      <c r="D34" s="103"/>
      <c r="E34" s="102">
        <f>IF(IRR($I$13:$I$25,0)&lt;0,IF(IRR($I$13:$I$25,1)&lt;0,IRR($I$13:$I$25,2),IRR($I$13:$I$25,1)),IRR($I$13:$I$25,0))</f>
        <v>0.44163211026109317</v>
      </c>
      <c r="F34" s="9"/>
      <c r="G34" s="155"/>
      <c r="H34" s="156">
        <f>NPV($B$7*(1-$B$9),$I$14:$I$25)+$I$13</f>
        <v>39288.126584828831</v>
      </c>
      <c r="I34" s="152"/>
      <c r="J34" s="108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  <c r="AA34" s="109"/>
      <c r="AB34" s="109"/>
      <c r="AC34" s="109"/>
    </row>
    <row r="35" spans="1:30" x14ac:dyDescent="0.15">
      <c r="A35" s="54" t="s">
        <v>17</v>
      </c>
      <c r="B35" s="61">
        <f>B3*B10</f>
        <v>50000</v>
      </c>
      <c r="C35" s="3"/>
      <c r="D35" s="118">
        <v>110000</v>
      </c>
      <c r="E35" s="71">
        <f t="dataTable" ref="E35:E63" dt2D="0" dtr="0" r1="B5" ca="1"/>
        <v>5.1014365477444201E-3</v>
      </c>
      <c r="F35" s="151"/>
      <c r="G35" s="118">
        <v>90000</v>
      </c>
      <c r="H35" s="79">
        <f t="dataTable" ref="H35:H63" dt2D="0" dtr="0" r1="B8"/>
        <v>-80142.499404394694</v>
      </c>
      <c r="I35" s="14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10"/>
      <c r="AB35" s="110"/>
      <c r="AC35" s="110"/>
      <c r="AD35" s="110"/>
    </row>
    <row r="36" spans="1:30" x14ac:dyDescent="0.15">
      <c r="A36" s="54" t="s">
        <v>18</v>
      </c>
      <c r="B36" s="62">
        <f>B31</f>
        <v>0</v>
      </c>
      <c r="C36" s="3"/>
      <c r="D36" s="119">
        <v>120000</v>
      </c>
      <c r="E36" s="71">
        <v>3.6655883004086398E-3</v>
      </c>
      <c r="F36" s="151"/>
      <c r="G36" s="119">
        <v>91000</v>
      </c>
      <c r="H36" s="79">
        <v>-74170.968104933505</v>
      </c>
      <c r="I36" s="14"/>
      <c r="K36" s="111"/>
      <c r="L36" s="107"/>
      <c r="M36" s="106"/>
      <c r="N36" s="113"/>
      <c r="O36" s="113"/>
      <c r="P36" s="113"/>
      <c r="Q36" s="113"/>
      <c r="R36" s="113"/>
      <c r="S36" s="113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</row>
    <row r="37" spans="1:30" x14ac:dyDescent="0.15">
      <c r="A37" s="54" t="s">
        <v>19</v>
      </c>
      <c r="B37" s="60">
        <f>B35-B36</f>
        <v>50000</v>
      </c>
      <c r="C37" s="3"/>
      <c r="D37" s="119">
        <v>130000</v>
      </c>
      <c r="E37" s="71">
        <v>2.1014534295595855E-3</v>
      </c>
      <c r="F37" s="151"/>
      <c r="G37" s="119">
        <v>92000</v>
      </c>
      <c r="H37" s="79">
        <v>-68199.436805472345</v>
      </c>
      <c r="I37" s="14"/>
      <c r="K37" s="112"/>
      <c r="L37" s="107"/>
      <c r="M37" s="113"/>
      <c r="N37" s="113"/>
      <c r="O37" s="113"/>
      <c r="P37" s="113"/>
      <c r="Q37" s="113"/>
      <c r="R37" s="113"/>
      <c r="S37" s="113"/>
      <c r="T37" s="110"/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</row>
    <row r="38" spans="1:30" x14ac:dyDescent="0.15">
      <c r="A38" s="63" t="s">
        <v>24</v>
      </c>
      <c r="B38" s="61">
        <f>B37*B9</f>
        <v>20000</v>
      </c>
      <c r="C38" s="3"/>
      <c r="D38" s="119">
        <v>140000</v>
      </c>
      <c r="E38" s="71">
        <v>3.9286004646554851E-4</v>
      </c>
      <c r="F38" s="151"/>
      <c r="G38" s="119">
        <v>93000</v>
      </c>
      <c r="H38" s="79">
        <v>-62227.905506011157</v>
      </c>
      <c r="I38" s="14"/>
      <c r="K38" s="112"/>
      <c r="L38" s="107"/>
      <c r="M38" s="113"/>
      <c r="N38" s="113"/>
      <c r="O38" s="113"/>
      <c r="P38" s="113"/>
      <c r="Q38" s="113"/>
      <c r="R38" s="113"/>
      <c r="S38" s="113"/>
      <c r="T38" s="110"/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</row>
    <row r="39" spans="1:30" ht="14" thickBot="1" x14ac:dyDescent="0.2">
      <c r="A39" s="58" t="s">
        <v>14</v>
      </c>
      <c r="B39" s="64">
        <f>B37-B38</f>
        <v>30000</v>
      </c>
      <c r="C39" s="3"/>
      <c r="D39" s="119">
        <v>150000</v>
      </c>
      <c r="E39" s="71">
        <v>0.79828217910089028</v>
      </c>
      <c r="F39" s="151"/>
      <c r="G39" s="119">
        <v>94000</v>
      </c>
      <c r="H39" s="79">
        <v>-56256.374206550012</v>
      </c>
      <c r="I39" s="14"/>
      <c r="K39" s="112"/>
      <c r="L39" s="107"/>
      <c r="M39" s="113"/>
      <c r="N39" s="113"/>
      <c r="O39" s="113"/>
      <c r="P39" s="113"/>
      <c r="Q39" s="113"/>
      <c r="R39" s="113"/>
      <c r="S39" s="113"/>
      <c r="T39" s="110"/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</row>
    <row r="40" spans="1:30" x14ac:dyDescent="0.15">
      <c r="C40" s="3"/>
      <c r="D40" s="119">
        <v>160000</v>
      </c>
      <c r="E40" s="71">
        <v>0.70016136803394269</v>
      </c>
      <c r="F40" s="151"/>
      <c r="G40" s="119">
        <v>95000</v>
      </c>
      <c r="H40" s="79">
        <v>-50284.842907088809</v>
      </c>
      <c r="I40" s="14"/>
      <c r="K40" s="112"/>
      <c r="L40" s="107"/>
      <c r="M40" s="113"/>
      <c r="N40" s="113"/>
      <c r="O40" s="113"/>
      <c r="P40" s="113"/>
      <c r="Q40" s="113"/>
      <c r="R40" s="113"/>
      <c r="S40" s="113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</row>
    <row r="41" spans="1:30" x14ac:dyDescent="0.15">
      <c r="A41" s="206"/>
      <c r="B41" s="206"/>
      <c r="C41" s="3"/>
      <c r="D41" s="119">
        <v>170000</v>
      </c>
      <c r="E41" s="71">
        <v>0.61903881579968423</v>
      </c>
      <c r="F41" s="151"/>
      <c r="G41" s="119">
        <v>96000</v>
      </c>
      <c r="H41" s="79">
        <v>-44313.31160762762</v>
      </c>
      <c r="I41" s="14"/>
      <c r="K41" s="112"/>
      <c r="L41" s="107"/>
      <c r="M41" s="113"/>
      <c r="N41" s="113"/>
      <c r="O41" s="113"/>
      <c r="P41" s="113"/>
      <c r="Q41" s="113"/>
      <c r="R41" s="113"/>
      <c r="S41" s="113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</row>
    <row r="42" spans="1:30" x14ac:dyDescent="0.15">
      <c r="A42" s="20"/>
      <c r="B42" s="21"/>
      <c r="C42" s="3"/>
      <c r="D42" s="119">
        <v>180000</v>
      </c>
      <c r="E42" s="71">
        <v>0.55069308015054119</v>
      </c>
      <c r="F42" s="151"/>
      <c r="G42" s="119">
        <v>97000</v>
      </c>
      <c r="H42" s="79">
        <v>-38341.78030816649</v>
      </c>
      <c r="I42" s="14"/>
      <c r="K42" s="112"/>
      <c r="L42" s="107"/>
      <c r="M42" s="113"/>
      <c r="N42" s="113"/>
      <c r="O42" s="113"/>
      <c r="P42" s="113"/>
      <c r="Q42" s="113"/>
      <c r="R42" s="113"/>
      <c r="S42" s="113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</row>
    <row r="43" spans="1:30" x14ac:dyDescent="0.15">
      <c r="A43" s="20"/>
      <c r="B43" s="21"/>
      <c r="C43" s="3"/>
      <c r="D43" s="119">
        <v>190000</v>
      </c>
      <c r="E43" s="71">
        <v>0.49223702442629236</v>
      </c>
      <c r="F43" s="151"/>
      <c r="G43" s="119">
        <v>98000</v>
      </c>
      <c r="H43" s="79">
        <v>-32370.249008705243</v>
      </c>
      <c r="I43" s="14"/>
      <c r="K43" s="112"/>
      <c r="L43" s="107"/>
      <c r="M43" s="113"/>
      <c r="N43" s="113"/>
      <c r="O43" s="113"/>
      <c r="P43" s="113"/>
      <c r="Q43" s="113"/>
      <c r="R43" s="113"/>
      <c r="S43" s="113"/>
      <c r="T43" s="110"/>
      <c r="U43" s="110"/>
      <c r="V43" s="110"/>
      <c r="W43" s="110"/>
      <c r="X43" s="110"/>
      <c r="Y43" s="110"/>
      <c r="Z43" s="110"/>
      <c r="AA43" s="110"/>
      <c r="AB43" s="110"/>
      <c r="AC43" s="110"/>
      <c r="AD43" s="110"/>
    </row>
    <row r="44" spans="1:30" x14ac:dyDescent="0.15">
      <c r="A44" s="20"/>
      <c r="B44" s="22"/>
      <c r="C44" s="3"/>
      <c r="D44" s="119">
        <v>200000</v>
      </c>
      <c r="E44" s="71">
        <v>0.44163211026109317</v>
      </c>
      <c r="F44" s="151"/>
      <c r="G44" s="119">
        <v>99000</v>
      </c>
      <c r="H44" s="79">
        <v>-26398.717709244098</v>
      </c>
      <c r="I44" s="14"/>
      <c r="K44" s="112"/>
      <c r="L44" s="107"/>
      <c r="M44" s="113"/>
      <c r="N44" s="113"/>
      <c r="O44" s="113"/>
      <c r="P44" s="113"/>
      <c r="Q44" s="113"/>
      <c r="R44" s="113"/>
      <c r="S44" s="113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</row>
    <row r="45" spans="1:30" x14ac:dyDescent="0.15">
      <c r="B45" s="3"/>
      <c r="C45" s="3"/>
      <c r="D45" s="119">
        <v>210000</v>
      </c>
      <c r="E45" s="71">
        <v>0.39740180810592651</v>
      </c>
      <c r="F45" s="151"/>
      <c r="G45" s="119">
        <v>100000</v>
      </c>
      <c r="H45" s="79">
        <v>-20427.186409782938</v>
      </c>
      <c r="I45" s="14"/>
      <c r="K45" s="112"/>
      <c r="L45" s="107"/>
      <c r="M45" s="113"/>
      <c r="N45" s="113"/>
      <c r="O45" s="113"/>
      <c r="P45" s="113"/>
      <c r="Q45" s="113"/>
      <c r="R45" s="113"/>
      <c r="S45" s="113"/>
      <c r="T45" s="110"/>
      <c r="U45" s="110"/>
      <c r="V45" s="110"/>
      <c r="W45" s="110"/>
      <c r="X45" s="110"/>
      <c r="Y45" s="110"/>
      <c r="Z45" s="110"/>
      <c r="AA45" s="110"/>
      <c r="AB45" s="110"/>
      <c r="AC45" s="110"/>
      <c r="AD45" s="110"/>
    </row>
    <row r="46" spans="1:30" x14ac:dyDescent="0.15">
      <c r="B46" s="3"/>
      <c r="C46" s="3"/>
      <c r="D46" s="119">
        <v>220000</v>
      </c>
      <c r="E46" s="71">
        <v>0.35845453423622065</v>
      </c>
      <c r="F46" s="151"/>
      <c r="G46" s="119">
        <v>101000</v>
      </c>
      <c r="H46" s="79">
        <v>-14455.655110321721</v>
      </c>
      <c r="I46" s="14"/>
      <c r="K46" s="112"/>
      <c r="L46" s="107"/>
      <c r="M46" s="113"/>
      <c r="N46" s="113"/>
      <c r="O46" s="113"/>
      <c r="P46" s="113"/>
      <c r="Q46" s="113"/>
      <c r="R46" s="113"/>
      <c r="S46" s="113"/>
      <c r="T46" s="110"/>
      <c r="U46" s="110"/>
      <c r="V46" s="110"/>
      <c r="W46" s="110"/>
      <c r="X46" s="110"/>
      <c r="Y46" s="110"/>
      <c r="Z46" s="110"/>
      <c r="AA46" s="110"/>
      <c r="AB46" s="110"/>
      <c r="AC46" s="110"/>
      <c r="AD46" s="110"/>
    </row>
    <row r="47" spans="1:30" x14ac:dyDescent="0.15">
      <c r="B47" s="3"/>
      <c r="C47" s="3"/>
      <c r="D47" s="119">
        <v>230000</v>
      </c>
      <c r="E47" s="71">
        <v>0.32396971317391454</v>
      </c>
      <c r="F47" s="151"/>
      <c r="G47" s="119">
        <v>102000</v>
      </c>
      <c r="H47" s="79">
        <v>-8484.1238108605467</v>
      </c>
      <c r="I47" s="14"/>
      <c r="K47" s="112"/>
      <c r="L47" s="107"/>
      <c r="M47" s="113"/>
      <c r="N47" s="113"/>
      <c r="O47" s="113"/>
      <c r="P47" s="113"/>
      <c r="Q47" s="113"/>
      <c r="R47" s="113"/>
      <c r="S47" s="113"/>
      <c r="T47" s="110"/>
      <c r="U47" s="110"/>
      <c r="V47" s="110"/>
      <c r="W47" s="110"/>
      <c r="X47" s="110"/>
      <c r="Y47" s="110"/>
      <c r="Z47" s="110"/>
      <c r="AA47" s="110"/>
      <c r="AB47" s="110"/>
      <c r="AC47" s="110"/>
      <c r="AD47" s="110"/>
    </row>
    <row r="48" spans="1:30" x14ac:dyDescent="0.15">
      <c r="B48" s="3"/>
      <c r="C48" s="3"/>
      <c r="D48" s="119">
        <v>240000</v>
      </c>
      <c r="E48" s="71">
        <v>0.29332157425574068</v>
      </c>
      <c r="F48" s="151"/>
      <c r="G48" s="119">
        <v>103000</v>
      </c>
      <c r="H48" s="79">
        <v>-2512.5925113993871</v>
      </c>
      <c r="I48" s="14"/>
      <c r="K48" s="112"/>
      <c r="L48" s="107"/>
      <c r="M48" s="113"/>
      <c r="N48" s="113"/>
      <c r="O48" s="113"/>
      <c r="P48" s="113"/>
      <c r="Q48" s="113"/>
      <c r="R48" s="113"/>
      <c r="S48" s="113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</row>
    <row r="49" spans="2:30" x14ac:dyDescent="0.15">
      <c r="B49" s="3"/>
      <c r="C49" s="3"/>
      <c r="D49" s="119">
        <v>250000</v>
      </c>
      <c r="E49" s="71">
        <v>0.2660261317487107</v>
      </c>
      <c r="F49" s="151"/>
      <c r="G49" s="119">
        <v>104000</v>
      </c>
      <c r="H49" s="79">
        <v>3458.9387880617869</v>
      </c>
      <c r="I49" s="14"/>
      <c r="K49" s="112"/>
      <c r="L49" s="107"/>
      <c r="M49" s="113"/>
      <c r="N49" s="113"/>
      <c r="O49" s="113"/>
      <c r="P49" s="113"/>
      <c r="Q49" s="113"/>
      <c r="R49" s="113"/>
      <c r="S49" s="113"/>
      <c r="T49" s="110"/>
      <c r="U49" s="110"/>
      <c r="V49" s="110"/>
      <c r="W49" s="110"/>
      <c r="X49" s="110"/>
      <c r="Y49" s="110"/>
      <c r="Z49" s="110"/>
      <c r="AA49" s="110"/>
      <c r="AB49" s="110"/>
      <c r="AC49" s="110"/>
      <c r="AD49" s="110"/>
    </row>
    <row r="50" spans="2:30" x14ac:dyDescent="0.15">
      <c r="B50" s="3"/>
      <c r="C50" s="3"/>
      <c r="D50" s="119">
        <v>260000</v>
      </c>
      <c r="E50" s="71">
        <v>0.24170272660160563</v>
      </c>
      <c r="F50" s="151"/>
      <c r="G50" s="119">
        <v>105000</v>
      </c>
      <c r="H50" s="79">
        <v>9430.470087522961</v>
      </c>
      <c r="I50" s="14"/>
      <c r="K50" s="112"/>
      <c r="L50" s="107"/>
      <c r="M50" s="113"/>
      <c r="N50" s="113"/>
      <c r="O50" s="113"/>
      <c r="P50" s="113"/>
      <c r="Q50" s="113"/>
      <c r="R50" s="113"/>
      <c r="S50" s="113"/>
      <c r="T50" s="110"/>
      <c r="U50" s="110"/>
      <c r="V50" s="110"/>
      <c r="W50" s="110"/>
      <c r="X50" s="110"/>
      <c r="Y50" s="110"/>
      <c r="Z50" s="110"/>
      <c r="AA50" s="110"/>
      <c r="AB50" s="110"/>
      <c r="AC50" s="110"/>
      <c r="AD50" s="110"/>
    </row>
    <row r="51" spans="2:30" x14ac:dyDescent="0.15">
      <c r="B51" s="3"/>
      <c r="C51" s="3"/>
      <c r="D51" s="119">
        <v>270000</v>
      </c>
      <c r="E51" s="71">
        <v>0.22004497826073521</v>
      </c>
      <c r="F51" s="151"/>
      <c r="G51" s="119">
        <v>106000</v>
      </c>
      <c r="H51" s="79">
        <v>15402.001386984135</v>
      </c>
      <c r="I51" s="14"/>
      <c r="K51" s="112"/>
      <c r="L51" s="107"/>
      <c r="M51" s="113"/>
      <c r="N51" s="113"/>
      <c r="O51" s="113"/>
      <c r="P51" s="113"/>
      <c r="Q51" s="113"/>
      <c r="R51" s="113"/>
      <c r="S51" s="113"/>
      <c r="T51" s="110"/>
      <c r="U51" s="110"/>
      <c r="V51" s="110"/>
      <c r="W51" s="110"/>
      <c r="X51" s="110"/>
      <c r="Y51" s="110"/>
      <c r="Z51" s="110"/>
      <c r="AA51" s="110"/>
      <c r="AB51" s="110"/>
      <c r="AC51" s="110"/>
      <c r="AD51" s="110"/>
    </row>
    <row r="52" spans="2:30" x14ac:dyDescent="0.15">
      <c r="B52" s="3"/>
      <c r="C52" s="3"/>
      <c r="D52" s="119">
        <v>280000</v>
      </c>
      <c r="E52" s="71">
        <v>0.20079819405591515</v>
      </c>
      <c r="F52" s="151"/>
      <c r="G52" s="119">
        <v>107000</v>
      </c>
      <c r="H52" s="79">
        <v>21373.53268644528</v>
      </c>
      <c r="I52" s="14"/>
      <c r="K52" s="112"/>
      <c r="L52" s="107"/>
      <c r="M52" s="113"/>
      <c r="N52" s="113"/>
      <c r="O52" s="113"/>
      <c r="P52" s="113"/>
      <c r="Q52" s="113"/>
      <c r="R52" s="113"/>
      <c r="S52" s="113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</row>
    <row r="53" spans="2:30" x14ac:dyDescent="0.15">
      <c r="B53" s="3"/>
      <c r="C53" s="3"/>
      <c r="D53" s="119">
        <v>290000</v>
      </c>
      <c r="E53" s="71">
        <v>0.18374175766637757</v>
      </c>
      <c r="F53" s="151"/>
      <c r="G53" s="119">
        <v>108000</v>
      </c>
      <c r="H53" s="79">
        <v>27345.063985906483</v>
      </c>
      <c r="I53" s="14"/>
      <c r="K53" s="112"/>
      <c r="L53" s="107"/>
      <c r="M53" s="113"/>
      <c r="N53" s="113"/>
      <c r="O53" s="113"/>
      <c r="P53" s="113"/>
      <c r="Q53" s="113"/>
      <c r="R53" s="113"/>
      <c r="S53" s="113"/>
      <c r="T53" s="110"/>
      <c r="U53" s="110"/>
      <c r="V53" s="110"/>
      <c r="W53" s="110"/>
      <c r="X53" s="110"/>
      <c r="Y53" s="110"/>
      <c r="Z53" s="110"/>
      <c r="AA53" s="110"/>
      <c r="AB53" s="110"/>
      <c r="AC53" s="110"/>
      <c r="AD53" s="110"/>
    </row>
    <row r="54" spans="2:30" x14ac:dyDescent="0.15">
      <c r="B54" s="3"/>
      <c r="C54" s="3"/>
      <c r="D54" s="119">
        <v>300000</v>
      </c>
      <c r="E54" s="71">
        <v>0.16867595489433573</v>
      </c>
      <c r="F54" s="151"/>
      <c r="G54" s="119">
        <v>109000</v>
      </c>
      <c r="H54" s="79">
        <v>33316.595285367628</v>
      </c>
      <c r="I54" s="14"/>
      <c r="K54" s="112"/>
      <c r="L54" s="107"/>
      <c r="M54" s="113"/>
      <c r="N54" s="113"/>
      <c r="O54" s="113"/>
      <c r="P54" s="113"/>
      <c r="Q54" s="113"/>
      <c r="R54" s="113"/>
      <c r="S54" s="113"/>
      <c r="T54" s="110"/>
      <c r="U54" s="110"/>
      <c r="V54" s="110"/>
      <c r="W54" s="110"/>
      <c r="X54" s="110"/>
      <c r="Y54" s="110"/>
      <c r="Z54" s="110"/>
      <c r="AA54" s="110"/>
      <c r="AB54" s="110"/>
      <c r="AC54" s="110"/>
      <c r="AD54" s="110"/>
    </row>
    <row r="55" spans="2:30" x14ac:dyDescent="0.15">
      <c r="B55" s="3"/>
      <c r="C55" s="3"/>
      <c r="D55" s="119">
        <v>310000</v>
      </c>
      <c r="E55" s="71">
        <v>0.15541311108558897</v>
      </c>
      <c r="F55" s="151"/>
      <c r="G55" s="119">
        <v>110000</v>
      </c>
      <c r="H55" s="79">
        <v>39288.126584828831</v>
      </c>
      <c r="I55" s="14"/>
      <c r="K55" s="112"/>
      <c r="L55" s="107"/>
      <c r="M55" s="113"/>
      <c r="N55" s="113"/>
      <c r="O55" s="113"/>
      <c r="P55" s="113"/>
      <c r="Q55" s="113"/>
      <c r="R55" s="113"/>
      <c r="S55" s="113"/>
      <c r="T55" s="110"/>
      <c r="U55" s="110"/>
      <c r="V55" s="110"/>
      <c r="W55" s="110"/>
      <c r="X55" s="110"/>
      <c r="Y55" s="110"/>
      <c r="Z55" s="110"/>
      <c r="AA55" s="110"/>
      <c r="AB55" s="110"/>
      <c r="AC55" s="110"/>
      <c r="AD55" s="110"/>
    </row>
    <row r="56" spans="2:30" x14ac:dyDescent="0.15">
      <c r="B56" s="3"/>
      <c r="C56" s="3"/>
      <c r="D56" s="119">
        <v>320000</v>
      </c>
      <c r="E56" s="71">
        <v>0.14377283543544039</v>
      </c>
      <c r="F56" s="151"/>
      <c r="G56" s="119">
        <v>111000</v>
      </c>
      <c r="H56" s="79">
        <v>45259.657884290005</v>
      </c>
      <c r="I56" s="14"/>
      <c r="K56" s="112"/>
      <c r="L56" s="107"/>
      <c r="M56" s="113"/>
      <c r="N56" s="113"/>
      <c r="O56" s="113"/>
      <c r="P56" s="113"/>
      <c r="Q56" s="113"/>
      <c r="R56" s="113"/>
      <c r="S56" s="113"/>
      <c r="T56" s="110"/>
      <c r="U56" s="110"/>
      <c r="V56" s="110"/>
      <c r="W56" s="110"/>
      <c r="X56" s="110"/>
      <c r="Y56" s="110"/>
      <c r="Z56" s="110"/>
      <c r="AA56" s="110"/>
      <c r="AB56" s="110"/>
      <c r="AC56" s="110"/>
      <c r="AD56" s="110"/>
    </row>
    <row r="57" spans="2:30" x14ac:dyDescent="0.15">
      <c r="B57" s="3"/>
      <c r="C57" s="3"/>
      <c r="D57" s="119">
        <v>330000</v>
      </c>
      <c r="E57" s="71">
        <v>0.13358075881459364</v>
      </c>
      <c r="F57" s="151"/>
      <c r="G57" s="119">
        <v>112000</v>
      </c>
      <c r="H57" s="79">
        <v>51231.18918375115</v>
      </c>
      <c r="I57" s="14"/>
      <c r="K57" s="112"/>
      <c r="L57" s="107"/>
      <c r="M57" s="113"/>
      <c r="N57" s="113"/>
      <c r="O57" s="113"/>
      <c r="P57" s="113"/>
      <c r="Q57" s="113"/>
      <c r="R57" s="113"/>
      <c r="S57" s="113"/>
      <c r="T57" s="110"/>
      <c r="U57" s="110"/>
      <c r="V57" s="110"/>
      <c r="W57" s="110"/>
      <c r="X57" s="110"/>
      <c r="Y57" s="110"/>
      <c r="Z57" s="110"/>
      <c r="AA57" s="110"/>
      <c r="AB57" s="110"/>
      <c r="AC57" s="110"/>
      <c r="AD57" s="110"/>
    </row>
    <row r="58" spans="2:30" x14ac:dyDescent="0.15">
      <c r="B58" s="3"/>
      <c r="C58" s="3"/>
      <c r="D58" s="119">
        <v>340000</v>
      </c>
      <c r="E58" s="71">
        <v>0.12466971093838941</v>
      </c>
      <c r="F58" s="151"/>
      <c r="G58" s="119">
        <v>113000</v>
      </c>
      <c r="H58" s="79">
        <v>57202.720483212441</v>
      </c>
      <c r="I58" s="14"/>
      <c r="K58" s="112"/>
      <c r="L58" s="107"/>
      <c r="M58" s="113"/>
      <c r="N58" s="113"/>
      <c r="O58" s="113"/>
      <c r="P58" s="113"/>
      <c r="Q58" s="113"/>
      <c r="R58" s="113"/>
      <c r="S58" s="113"/>
      <c r="T58" s="110"/>
      <c r="U58" s="110"/>
      <c r="V58" s="110"/>
      <c r="W58" s="110"/>
      <c r="X58" s="110"/>
      <c r="Y58" s="110"/>
      <c r="Z58" s="110"/>
      <c r="AA58" s="110"/>
      <c r="AB58" s="110"/>
      <c r="AC58" s="110"/>
      <c r="AD58" s="110"/>
    </row>
    <row r="59" spans="2:30" x14ac:dyDescent="0.15">
      <c r="B59" s="3"/>
      <c r="C59" s="3"/>
      <c r="D59" s="119">
        <v>350000</v>
      </c>
      <c r="E59" s="71">
        <v>0.11688208587833793</v>
      </c>
      <c r="F59" s="151"/>
      <c r="G59" s="119">
        <v>114000</v>
      </c>
      <c r="H59" s="79">
        <v>63174.251782673469</v>
      </c>
      <c r="I59" s="14"/>
      <c r="K59" s="112"/>
      <c r="L59" s="107"/>
      <c r="M59" s="113"/>
      <c r="N59" s="113"/>
      <c r="O59" s="113"/>
      <c r="P59" s="113"/>
      <c r="Q59" s="113"/>
      <c r="R59" s="113"/>
      <c r="S59" s="113"/>
      <c r="T59" s="110"/>
      <c r="U59" s="110"/>
      <c r="V59" s="110"/>
      <c r="W59" s="110"/>
      <c r="X59" s="110"/>
      <c r="Y59" s="110"/>
      <c r="Z59" s="110"/>
      <c r="AA59" s="110"/>
      <c r="AB59" s="110"/>
      <c r="AC59" s="110"/>
      <c r="AD59" s="110"/>
    </row>
    <row r="60" spans="2:30" x14ac:dyDescent="0.15">
      <c r="B60" s="3"/>
      <c r="C60" s="3"/>
      <c r="D60" s="119">
        <v>360000</v>
      </c>
      <c r="E60" s="71">
        <v>0.11007228884871956</v>
      </c>
      <c r="F60" s="151"/>
      <c r="G60" s="119">
        <v>115000</v>
      </c>
      <c r="H60" s="79">
        <v>69145.78308213476</v>
      </c>
      <c r="I60" s="14"/>
      <c r="K60" s="112"/>
      <c r="L60" s="107"/>
      <c r="M60" s="113"/>
      <c r="N60" s="113"/>
      <c r="O60" s="113"/>
      <c r="P60" s="113"/>
      <c r="Q60" s="113"/>
      <c r="R60" s="113"/>
      <c r="S60" s="113"/>
      <c r="T60" s="110"/>
      <c r="U60" s="110"/>
      <c r="V60" s="110"/>
      <c r="W60" s="110"/>
      <c r="X60" s="110"/>
      <c r="Y60" s="110"/>
      <c r="Z60" s="110"/>
      <c r="AA60" s="110"/>
      <c r="AB60" s="110"/>
      <c r="AC60" s="110"/>
      <c r="AD60" s="110"/>
    </row>
    <row r="61" spans="2:30" x14ac:dyDescent="0.15">
      <c r="B61" s="3"/>
      <c r="C61" s="3"/>
      <c r="D61" s="119">
        <v>370000</v>
      </c>
      <c r="E61" s="71">
        <v>0.10410853833233502</v>
      </c>
      <c r="F61" s="151"/>
      <c r="G61" s="119">
        <v>116000</v>
      </c>
      <c r="H61" s="79">
        <v>75117.314381595846</v>
      </c>
      <c r="I61" s="14"/>
      <c r="K61" s="112"/>
      <c r="L61" s="107"/>
      <c r="M61" s="113"/>
      <c r="N61" s="113"/>
      <c r="O61" s="113"/>
      <c r="P61" s="113"/>
      <c r="Q61" s="113"/>
      <c r="R61" s="113"/>
      <c r="S61" s="113"/>
      <c r="T61" s="110"/>
      <c r="U61" s="110"/>
      <c r="V61" s="110"/>
      <c r="W61" s="110"/>
      <c r="X61" s="110"/>
      <c r="Y61" s="110"/>
      <c r="Z61" s="110"/>
      <c r="AA61" s="110"/>
      <c r="AB61" s="110"/>
      <c r="AC61" s="110"/>
      <c r="AD61" s="110"/>
    </row>
    <row r="62" spans="2:30" x14ac:dyDescent="0.15">
      <c r="B62" s="3"/>
      <c r="C62" s="3"/>
      <c r="D62" s="119">
        <v>380000</v>
      </c>
      <c r="E62" s="71">
        <v>9.8873725979138793E-2</v>
      </c>
      <c r="F62" s="151"/>
      <c r="G62" s="119">
        <v>117000</v>
      </c>
      <c r="H62" s="79">
        <v>81088.845681057108</v>
      </c>
      <c r="I62" s="14"/>
      <c r="K62" s="112"/>
      <c r="L62" s="107"/>
      <c r="M62" s="113"/>
      <c r="N62" s="113"/>
      <c r="O62" s="113"/>
      <c r="P62" s="113"/>
      <c r="Q62" s="113"/>
      <c r="R62" s="113"/>
      <c r="S62" s="113"/>
      <c r="T62" s="110"/>
      <c r="U62" s="110"/>
      <c r="V62" s="110"/>
      <c r="W62" s="110"/>
      <c r="X62" s="110"/>
      <c r="Y62" s="110"/>
      <c r="Z62" s="110"/>
      <c r="AA62" s="110"/>
      <c r="AB62" s="110"/>
      <c r="AC62" s="110"/>
      <c r="AD62" s="110"/>
    </row>
    <row r="63" spans="2:30" x14ac:dyDescent="0.15">
      <c r="B63" s="3"/>
      <c r="C63" s="3"/>
      <c r="D63" s="120">
        <v>390000</v>
      </c>
      <c r="E63" s="72">
        <v>9.4265365240882026E-2</v>
      </c>
      <c r="F63" s="151"/>
      <c r="G63" s="120">
        <v>118000</v>
      </c>
      <c r="H63" s="80">
        <v>87060.376980518166</v>
      </c>
      <c r="I63" s="14"/>
      <c r="K63" s="112"/>
      <c r="L63" s="107"/>
      <c r="M63" s="113"/>
      <c r="N63" s="113"/>
      <c r="O63" s="113"/>
      <c r="P63" s="113"/>
      <c r="Q63" s="113"/>
      <c r="R63" s="113"/>
      <c r="S63" s="113"/>
      <c r="T63" s="110"/>
      <c r="U63" s="110"/>
      <c r="V63" s="110"/>
      <c r="W63" s="110"/>
      <c r="X63" s="110"/>
      <c r="Y63" s="110"/>
      <c r="Z63" s="110"/>
      <c r="AA63" s="110"/>
      <c r="AB63" s="110"/>
      <c r="AC63" s="110"/>
      <c r="AD63" s="110"/>
    </row>
    <row r="64" spans="2:30" x14ac:dyDescent="0.15">
      <c r="B64" s="3"/>
      <c r="C64" s="3"/>
      <c r="D64" s="3"/>
      <c r="E64" s="3"/>
      <c r="F64" s="115"/>
      <c r="G64" s="12"/>
      <c r="H64" s="13"/>
      <c r="I64" s="14"/>
      <c r="K64" s="112"/>
      <c r="L64" s="107"/>
      <c r="M64" s="113"/>
      <c r="N64" s="113"/>
      <c r="O64" s="113"/>
      <c r="P64" s="113"/>
      <c r="Q64" s="113"/>
      <c r="R64" s="113"/>
      <c r="S64" s="113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</row>
    <row r="65" spans="1:15" x14ac:dyDescent="0.15">
      <c r="C65" s="6"/>
      <c r="D65" s="3"/>
      <c r="E65" s="3"/>
      <c r="F65" s="3"/>
      <c r="G65" s="3"/>
      <c r="H65" s="3"/>
      <c r="I65" s="14"/>
      <c r="K65" s="111"/>
      <c r="L65" s="82"/>
    </row>
    <row r="66" spans="1:15" x14ac:dyDescent="0.15">
      <c r="C66" s="3"/>
      <c r="D66" s="3"/>
      <c r="E66" s="3"/>
      <c r="F66" s="3"/>
      <c r="G66" s="3"/>
      <c r="H66" s="3"/>
      <c r="I66" s="3"/>
      <c r="K66" s="111"/>
    </row>
    <row r="67" spans="1:15" x14ac:dyDescent="0.15">
      <c r="C67" s="4"/>
      <c r="D67" s="3"/>
      <c r="I67" s="3"/>
      <c r="K67" s="111"/>
      <c r="O67" s="11"/>
    </row>
    <row r="68" spans="1:15" x14ac:dyDescent="0.15">
      <c r="A68" s="9"/>
      <c r="B68" s="9"/>
      <c r="C68" s="9"/>
      <c r="D68" s="9"/>
      <c r="E68" s="9"/>
      <c r="F68" s="12"/>
      <c r="G68" s="69"/>
      <c r="H68" s="69"/>
      <c r="J68" s="69"/>
      <c r="K68" s="69"/>
      <c r="L68" s="9"/>
      <c r="O68" s="11"/>
    </row>
    <row r="69" spans="1:15" x14ac:dyDescent="0.15">
      <c r="A69" s="9"/>
      <c r="B69" s="9"/>
      <c r="C69" s="9"/>
      <c r="D69" s="9"/>
      <c r="E69" s="9"/>
      <c r="F69" s="12"/>
      <c r="G69" s="69"/>
      <c r="H69" s="69"/>
      <c r="I69" s="69"/>
      <c r="J69" s="69"/>
      <c r="K69" s="69"/>
      <c r="L69" s="9"/>
      <c r="O69" s="11"/>
    </row>
    <row r="70" spans="1:15" x14ac:dyDescent="0.15">
      <c r="A70" s="9"/>
      <c r="B70" s="9"/>
      <c r="C70" s="9"/>
      <c r="D70" s="9"/>
      <c r="E70" s="9"/>
      <c r="F70" s="12"/>
      <c r="G70" s="69"/>
      <c r="H70" s="69"/>
      <c r="I70" s="69"/>
      <c r="J70" s="69"/>
      <c r="K70" s="69"/>
      <c r="L70" s="9"/>
      <c r="O70" s="11"/>
    </row>
    <row r="71" spans="1:15" x14ac:dyDescent="0.15">
      <c r="A71" s="9"/>
      <c r="B71" s="9"/>
      <c r="C71" s="9"/>
      <c r="D71" s="9"/>
      <c r="E71" s="9"/>
      <c r="F71" s="12"/>
      <c r="G71" s="69"/>
      <c r="H71" s="69"/>
      <c r="I71" s="69"/>
      <c r="J71" s="69"/>
      <c r="K71" s="69"/>
      <c r="L71" s="9"/>
      <c r="O71" s="11"/>
    </row>
    <row r="72" spans="1:15" x14ac:dyDescent="0.15">
      <c r="A72" s="9"/>
      <c r="B72" s="9"/>
      <c r="C72" s="9"/>
      <c r="D72" s="9"/>
      <c r="E72" s="9"/>
      <c r="F72" s="12"/>
      <c r="G72" s="69"/>
      <c r="H72" s="69"/>
      <c r="I72" s="69"/>
      <c r="J72" s="69"/>
      <c r="K72" s="69"/>
      <c r="L72" s="9"/>
      <c r="O72" s="11"/>
    </row>
    <row r="73" spans="1:15" x14ac:dyDescent="0.15">
      <c r="A73" s="9"/>
      <c r="B73" s="9"/>
      <c r="C73" s="9"/>
      <c r="D73" s="9"/>
      <c r="E73" s="9"/>
      <c r="F73" s="12"/>
      <c r="G73" s="69"/>
      <c r="H73" s="69"/>
      <c r="I73" s="69"/>
      <c r="J73" s="69"/>
      <c r="K73" s="69"/>
      <c r="L73" s="9"/>
      <c r="O73" s="11"/>
    </row>
    <row r="74" spans="1:15" x14ac:dyDescent="0.15">
      <c r="A74" s="9"/>
      <c r="B74" s="9"/>
      <c r="C74" s="9"/>
      <c r="D74" s="9"/>
      <c r="E74" s="9"/>
      <c r="F74" s="12"/>
      <c r="G74" s="69"/>
      <c r="H74" s="69"/>
      <c r="I74" s="69"/>
      <c r="J74" s="69"/>
      <c r="K74" s="69"/>
      <c r="L74" s="9"/>
      <c r="O74" s="11"/>
    </row>
    <row r="75" spans="1:15" x14ac:dyDescent="0.15">
      <c r="A75" s="9"/>
      <c r="B75" s="9"/>
      <c r="C75" s="9"/>
      <c r="D75" s="9"/>
      <c r="E75" s="9"/>
      <c r="F75" s="12"/>
      <c r="G75" s="69"/>
      <c r="H75" s="69"/>
      <c r="I75" s="69"/>
      <c r="J75" s="69"/>
      <c r="K75" s="69"/>
      <c r="L75" s="9"/>
      <c r="O75" s="11"/>
    </row>
    <row r="76" spans="1:15" x14ac:dyDescent="0.15">
      <c r="A76" s="9"/>
      <c r="B76" s="9"/>
      <c r="C76" s="9"/>
      <c r="D76" s="9"/>
      <c r="E76" s="9"/>
      <c r="F76" s="12"/>
      <c r="G76" s="69"/>
      <c r="H76" s="69"/>
      <c r="I76" s="69"/>
      <c r="J76" s="69"/>
      <c r="K76" s="69"/>
      <c r="L76" s="9"/>
      <c r="O76" s="11"/>
    </row>
    <row r="77" spans="1:15" x14ac:dyDescent="0.15">
      <c r="A77" s="9"/>
      <c r="B77" s="9"/>
      <c r="C77" s="68"/>
      <c r="D77" s="9"/>
      <c r="E77" s="9"/>
      <c r="F77" s="12"/>
      <c r="G77" s="69"/>
      <c r="H77" s="69"/>
      <c r="I77" s="69"/>
      <c r="J77" s="69"/>
      <c r="K77" s="69"/>
      <c r="L77" s="9"/>
      <c r="O77" s="11"/>
    </row>
    <row r="78" spans="1:15" x14ac:dyDescent="0.15">
      <c r="A78" s="9"/>
      <c r="B78" s="9"/>
      <c r="C78" s="9"/>
      <c r="D78" s="9"/>
      <c r="E78" s="9"/>
      <c r="F78" s="12"/>
      <c r="G78" s="69"/>
      <c r="H78" s="69"/>
      <c r="I78" s="70"/>
      <c r="J78" s="69"/>
      <c r="K78" s="69"/>
      <c r="L78" s="9"/>
      <c r="O78" s="11"/>
    </row>
    <row r="79" spans="1:15" x14ac:dyDescent="0.15">
      <c r="A79" s="9"/>
      <c r="B79" s="9"/>
      <c r="C79" s="9"/>
      <c r="D79" s="9"/>
      <c r="E79" s="9"/>
      <c r="F79" s="12"/>
      <c r="G79" s="69"/>
      <c r="H79" s="69"/>
      <c r="I79" s="69"/>
      <c r="J79" s="69"/>
      <c r="K79" s="69"/>
      <c r="L79" s="9"/>
      <c r="O79" s="11"/>
    </row>
    <row r="80" spans="1:15" x14ac:dyDescent="0.15">
      <c r="A80" s="9"/>
      <c r="B80" s="9"/>
      <c r="C80" s="9"/>
      <c r="D80" s="9"/>
      <c r="E80" s="9"/>
      <c r="F80" s="12"/>
      <c r="G80" s="69"/>
      <c r="H80" s="69"/>
      <c r="I80" s="69"/>
      <c r="J80" s="69"/>
      <c r="K80" s="69"/>
      <c r="L80" s="9"/>
      <c r="O80" s="11"/>
    </row>
    <row r="81" spans="1:15" x14ac:dyDescent="0.15">
      <c r="A81" s="9"/>
      <c r="B81" s="9"/>
      <c r="C81" s="9"/>
      <c r="D81" s="9"/>
      <c r="E81" s="9"/>
      <c r="F81" s="12"/>
      <c r="G81" s="69"/>
      <c r="H81" s="69"/>
      <c r="I81" s="69"/>
      <c r="J81" s="69"/>
      <c r="K81" s="69"/>
      <c r="L81" s="9"/>
      <c r="O81" s="11"/>
    </row>
    <row r="82" spans="1:15" x14ac:dyDescent="0.15">
      <c r="A82" s="9"/>
      <c r="B82" s="9"/>
      <c r="C82" s="9"/>
      <c r="D82" s="9"/>
      <c r="E82" s="9"/>
      <c r="F82" s="12"/>
      <c r="G82" s="69"/>
      <c r="H82" s="69"/>
      <c r="I82" s="69"/>
      <c r="J82" s="69"/>
      <c r="K82" s="69"/>
      <c r="L82" s="9"/>
      <c r="O82" s="11"/>
    </row>
    <row r="83" spans="1:15" x14ac:dyDescent="0.15">
      <c r="A83" s="9"/>
      <c r="B83" s="9"/>
      <c r="C83" s="9"/>
      <c r="D83" s="9"/>
      <c r="E83" s="9"/>
      <c r="F83" s="12"/>
      <c r="G83" s="69"/>
      <c r="H83" s="69"/>
      <c r="I83" s="69"/>
      <c r="J83" s="69"/>
      <c r="K83" s="69"/>
      <c r="L83" s="9"/>
      <c r="O83" s="11"/>
    </row>
    <row r="84" spans="1:15" x14ac:dyDescent="0.15">
      <c r="A84" s="9"/>
      <c r="B84" s="9"/>
      <c r="C84" s="9"/>
      <c r="D84" s="9"/>
      <c r="E84" s="9"/>
      <c r="F84" s="12"/>
      <c r="G84" s="69"/>
      <c r="H84" s="69"/>
      <c r="I84" s="69"/>
      <c r="J84" s="69"/>
      <c r="K84" s="69"/>
      <c r="L84" s="9"/>
      <c r="O84" s="11"/>
    </row>
    <row r="85" spans="1:15" x14ac:dyDescent="0.15">
      <c r="A85" s="9"/>
      <c r="B85" s="9"/>
      <c r="C85" s="9"/>
      <c r="D85" s="9"/>
      <c r="E85" s="9"/>
      <c r="F85" s="12"/>
      <c r="G85" s="69"/>
      <c r="H85" s="69"/>
      <c r="I85" s="69"/>
      <c r="J85" s="69"/>
      <c r="K85" s="69"/>
      <c r="L85" s="9"/>
      <c r="O85" s="11"/>
    </row>
    <row r="86" spans="1:15" x14ac:dyDescent="0.15">
      <c r="A86" s="12"/>
      <c r="B86" s="12"/>
      <c r="C86" s="12"/>
      <c r="D86" s="12"/>
      <c r="E86" s="12"/>
      <c r="F86" s="12"/>
      <c r="G86" s="69"/>
      <c r="H86" s="69"/>
      <c r="I86" s="69"/>
      <c r="J86" s="69"/>
      <c r="K86" s="69"/>
      <c r="L86" s="9"/>
      <c r="O86" s="11"/>
    </row>
    <row r="87" spans="1:15" x14ac:dyDescent="0.15">
      <c r="G87" s="16"/>
      <c r="H87" s="16"/>
      <c r="I87" s="69"/>
      <c r="J87" s="16"/>
      <c r="K87" s="16"/>
      <c r="O87" s="11"/>
    </row>
    <row r="88" spans="1:15" x14ac:dyDescent="0.15">
      <c r="I88" s="16"/>
      <c r="O88" s="11"/>
    </row>
    <row r="89" spans="1:15" x14ac:dyDescent="0.15">
      <c r="O89" s="11"/>
    </row>
    <row r="90" spans="1:15" x14ac:dyDescent="0.15">
      <c r="O90" s="11"/>
    </row>
    <row r="91" spans="1:15" x14ac:dyDescent="0.15">
      <c r="O91" s="11"/>
    </row>
    <row r="92" spans="1:15" x14ac:dyDescent="0.15">
      <c r="O92" s="11"/>
    </row>
    <row r="93" spans="1:15" x14ac:dyDescent="0.15">
      <c r="O93" s="11"/>
    </row>
    <row r="94" spans="1:15" x14ac:dyDescent="0.15">
      <c r="O94" s="11"/>
    </row>
    <row r="95" spans="1:15" x14ac:dyDescent="0.15">
      <c r="O95" s="11"/>
    </row>
    <row r="96" spans="1:15" x14ac:dyDescent="0.15">
      <c r="O96" s="11"/>
    </row>
    <row r="97" spans="15:15" x14ac:dyDescent="0.15">
      <c r="O97" s="11"/>
    </row>
  </sheetData>
  <mergeCells count="13">
    <mergeCell ref="A41:B41"/>
    <mergeCell ref="A33:B33"/>
    <mergeCell ref="G30:H30"/>
    <mergeCell ref="G28:H28"/>
    <mergeCell ref="A1:I1"/>
    <mergeCell ref="D33:E33"/>
    <mergeCell ref="A28:B28"/>
    <mergeCell ref="D4:G4"/>
    <mergeCell ref="D5:F7"/>
    <mergeCell ref="G5:G7"/>
    <mergeCell ref="D8:F9"/>
    <mergeCell ref="G8:G9"/>
    <mergeCell ref="G32:H33"/>
  </mergeCells>
  <phoneticPr fontId="2" type="noConversion"/>
  <conditionalFormatting sqref="H35:H63">
    <cfRule type="cellIs" dxfId="0" priority="1" operator="lessThan">
      <formula>0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NAL Analysis</vt:lpstr>
      <vt:lpstr>Leveraged Lease</vt:lpstr>
      <vt:lpstr>Annual_Lease_pmt</vt:lpstr>
      <vt:lpstr>Cost_Of_Asset</vt:lpstr>
      <vt:lpstr>Debt</vt:lpstr>
      <vt:lpstr>Equipment_Cost</vt:lpstr>
      <vt:lpstr>Equity</vt:lpstr>
      <vt:lpstr>Federal_Tax_Rate</vt:lpstr>
      <vt:lpstr>Lease_Payment</vt:lpstr>
      <vt:lpstr>Lease_Term</vt:lpstr>
      <vt:lpstr>Length_Of_Lease</vt:lpstr>
      <vt:lpstr>Pretax_Interest_Rate</vt:lpstr>
      <vt:lpstr>Pretax_Rate</vt:lpstr>
      <vt:lpstr>Residual_Value</vt:lpstr>
      <vt:lpstr>Salvage_Value</vt:lpstr>
      <vt:lpstr>Shipping_Charges</vt:lpstr>
      <vt:lpstr>Tax_Rate</vt:lpstr>
      <vt:lpstr>Total_Cost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McBain</dc:creator>
  <cp:lastModifiedBy>Pavitra Gajanana</cp:lastModifiedBy>
  <dcterms:created xsi:type="dcterms:W3CDTF">2009-04-16T17:07:38Z</dcterms:created>
  <dcterms:modified xsi:type="dcterms:W3CDTF">2020-07-01T23:23:18Z</dcterms:modified>
</cp:coreProperties>
</file>