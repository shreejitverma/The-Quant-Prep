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vitragajanana/Desktop/github/"/>
    </mc:Choice>
  </mc:AlternateContent>
  <xr:revisionPtr revIDLastSave="0" documentId="13_ncr:1_{7C415724-EA56-B241-9D8E-C7AE47088FF6}" xr6:coauthVersionLast="36" xr6:coauthVersionMax="36" xr10:uidLastSave="{00000000-0000-0000-0000-000000000000}"/>
  <bookViews>
    <workbookView xWindow="1540" yWindow="500" windowWidth="20740" windowHeight="11760" xr2:uid="{00000000-000D-0000-FFFF-FFFF00000000}"/>
  </bookViews>
  <sheets>
    <sheet name="Front End" sheetId="6" r:id="rId1"/>
    <sheet name="Spot Rates" sheetId="2" r:id="rId2"/>
    <sheet name="Bond Pricing" sheetId="4" r:id="rId3"/>
  </sheets>
  <functionGroups builtInGroupCount="19"/>
  <definedNames>
    <definedName name="coupon">'Front End'!$D$8</definedName>
    <definedName name="freq">'Front End'!$D$10</definedName>
    <definedName name="Maturity_Date">'Front End'!$D$12</definedName>
    <definedName name="par">'Front End'!$D$9</definedName>
    <definedName name="Settlement_Date">'Front End'!$D$11</definedName>
    <definedName name="solver_adj" localSheetId="1" hidden="1">'Spot Rates'!$AB$16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'Spot Rates'!$G$57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iterateCount="1000" iterateDelta="1.0000000000000001E-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6" i="4" l="1"/>
  <c r="B24" i="4" l="1"/>
  <c r="I10" i="2"/>
  <c r="I11" i="2" s="1"/>
  <c r="J10" i="2"/>
  <c r="K10" i="2"/>
  <c r="K11" i="2" s="1"/>
  <c r="L10" i="2"/>
  <c r="L11" i="2" s="1"/>
  <c r="M10" i="2"/>
  <c r="M11" i="2" s="1"/>
  <c r="N10" i="2"/>
  <c r="N11" i="2" s="1"/>
  <c r="O10" i="2"/>
  <c r="O11" i="2" s="1"/>
  <c r="P10" i="2"/>
  <c r="P11" i="2" s="1"/>
  <c r="Q10" i="2"/>
  <c r="Q11" i="2" s="1"/>
  <c r="R10" i="2"/>
  <c r="R11" i="2" s="1"/>
  <c r="S10" i="2"/>
  <c r="S11" i="2" s="1"/>
  <c r="T10" i="2"/>
  <c r="T11" i="2" s="1"/>
  <c r="U10" i="2"/>
  <c r="U11" i="2" s="1"/>
  <c r="V10" i="2"/>
  <c r="V11" i="2" s="1"/>
  <c r="W10" i="2"/>
  <c r="W11" i="2" s="1"/>
  <c r="X10" i="2"/>
  <c r="X11" i="2" s="1"/>
  <c r="Y10" i="2"/>
  <c r="Y11" i="2" s="1"/>
  <c r="Z10" i="2"/>
  <c r="Z11" i="2" s="1"/>
  <c r="AA10" i="2"/>
  <c r="AA11" i="2" s="1"/>
  <c r="AB10" i="2"/>
  <c r="AB11" i="2" s="1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K1" i="4"/>
  <c r="K2" i="4" s="1"/>
  <c r="L1" i="4"/>
  <c r="L2" i="4" s="1"/>
  <c r="J2" i="4"/>
  <c r="E7" i="4"/>
  <c r="D7" i="4"/>
  <c r="J7" i="2"/>
  <c r="S8" i="6"/>
  <c r="G19" i="2"/>
  <c r="S9" i="6" s="1"/>
  <c r="G20" i="2"/>
  <c r="S10" i="6"/>
  <c r="G21" i="2"/>
  <c r="S11" i="6" s="1"/>
  <c r="G22" i="2"/>
  <c r="S12" i="6"/>
  <c r="G23" i="2"/>
  <c r="S13" i="6" s="1"/>
  <c r="G24" i="2"/>
  <c r="S14" i="6" s="1"/>
  <c r="G25" i="2"/>
  <c r="S15" i="6" s="1"/>
  <c r="G26" i="2"/>
  <c r="S16" i="6" s="1"/>
  <c r="G27" i="2"/>
  <c r="S17" i="6" s="1"/>
  <c r="G28" i="2"/>
  <c r="S18" i="6" s="1"/>
  <c r="G29" i="2"/>
  <c r="S19" i="6" s="1"/>
  <c r="G30" i="2"/>
  <c r="S20" i="6" s="1"/>
  <c r="G31" i="2"/>
  <c r="S21" i="6" s="1"/>
  <c r="G32" i="2"/>
  <c r="S22" i="6" s="1"/>
  <c r="G33" i="2"/>
  <c r="S23" i="6" s="1"/>
  <c r="G34" i="2"/>
  <c r="S24" i="6" s="1"/>
  <c r="G35" i="2"/>
  <c r="S25" i="6" s="1"/>
  <c r="G36" i="2"/>
  <c r="S26" i="6" s="1"/>
  <c r="H19" i="2"/>
  <c r="R9" i="6"/>
  <c r="H20" i="2"/>
  <c r="R10" i="6"/>
  <c r="H21" i="2"/>
  <c r="R11" i="6"/>
  <c r="H22" i="2"/>
  <c r="R12" i="6" s="1"/>
  <c r="H23" i="2"/>
  <c r="R13" i="6"/>
  <c r="H24" i="2"/>
  <c r="R14" i="6"/>
  <c r="H25" i="2"/>
  <c r="R15" i="6"/>
  <c r="H26" i="2"/>
  <c r="R16" i="6" s="1"/>
  <c r="H27" i="2"/>
  <c r="R17" i="6"/>
  <c r="H28" i="2"/>
  <c r="R18" i="6"/>
  <c r="H29" i="2"/>
  <c r="R19" i="6"/>
  <c r="H30" i="2"/>
  <c r="R20" i="6" s="1"/>
  <c r="H31" i="2"/>
  <c r="R21" i="6"/>
  <c r="H32" i="2"/>
  <c r="R22" i="6"/>
  <c r="H33" i="2"/>
  <c r="R23" i="6"/>
  <c r="H34" i="2"/>
  <c r="R24" i="6" s="1"/>
  <c r="H35" i="2"/>
  <c r="R25" i="6"/>
  <c r="H36" i="2"/>
  <c r="R26" i="6"/>
  <c r="K19" i="2"/>
  <c r="K40" i="2" s="1"/>
  <c r="I19" i="2"/>
  <c r="H18" i="2"/>
  <c r="R8" i="6" s="1"/>
  <c r="O24" i="2"/>
  <c r="O45" i="2"/>
  <c r="O23" i="2"/>
  <c r="O44" i="2"/>
  <c r="N23" i="2"/>
  <c r="N44" i="2"/>
  <c r="N24" i="2"/>
  <c r="N45" i="2" s="1"/>
  <c r="N25" i="2"/>
  <c r="N46" i="2"/>
  <c r="N22" i="2"/>
  <c r="N43" i="2"/>
  <c r="M22" i="2"/>
  <c r="M43" i="2"/>
  <c r="M23" i="2"/>
  <c r="M44" i="2" s="1"/>
  <c r="M24" i="2"/>
  <c r="M45" i="2"/>
  <c r="M25" i="2"/>
  <c r="M46" i="2"/>
  <c r="M21" i="2"/>
  <c r="M42" i="2"/>
  <c r="L21" i="2"/>
  <c r="L42" i="2" s="1"/>
  <c r="L22" i="2"/>
  <c r="L43" i="2"/>
  <c r="L23" i="2"/>
  <c r="L44" i="2"/>
  <c r="L24" i="2"/>
  <c r="L45" i="2"/>
  <c r="L25" i="2"/>
  <c r="L46" i="2" s="1"/>
  <c r="L20" i="2"/>
  <c r="L41" i="2"/>
  <c r="K20" i="2"/>
  <c r="K41" i="2"/>
  <c r="K21" i="2"/>
  <c r="K42" i="2"/>
  <c r="K22" i="2"/>
  <c r="K43" i="2" s="1"/>
  <c r="K23" i="2"/>
  <c r="K44" i="2"/>
  <c r="K24" i="2"/>
  <c r="K45" i="2"/>
  <c r="K25" i="2"/>
  <c r="K46" i="2"/>
  <c r="J20" i="2"/>
  <c r="J16" i="2"/>
  <c r="J21" i="2"/>
  <c r="J42" i="2"/>
  <c r="J22" i="2"/>
  <c r="J43" i="2"/>
  <c r="J23" i="2"/>
  <c r="J44" i="2" s="1"/>
  <c r="J24" i="2"/>
  <c r="J45" i="2"/>
  <c r="J25" i="2"/>
  <c r="J46" i="2"/>
  <c r="J40" i="2"/>
  <c r="I20" i="2"/>
  <c r="I16" i="2"/>
  <c r="I45" i="2" s="1"/>
  <c r="I21" i="2"/>
  <c r="I42" i="2" s="1"/>
  <c r="H42" i="2" s="1"/>
  <c r="G42" i="2" s="1"/>
  <c r="I22" i="2"/>
  <c r="I23" i="2"/>
  <c r="I24" i="2"/>
  <c r="I25" i="2"/>
  <c r="I46" i="2" s="1"/>
  <c r="I26" i="2"/>
  <c r="Q8" i="6"/>
  <c r="Q9" i="6" s="1"/>
  <c r="Q10" i="6" s="1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G18" i="2"/>
  <c r="G17" i="2"/>
  <c r="S7" i="6" s="1"/>
  <c r="M1" i="4" l="1"/>
  <c r="I40" i="2"/>
  <c r="H40" i="2" s="1"/>
  <c r="G40" i="2" s="1"/>
  <c r="J11" i="2"/>
  <c r="I44" i="2"/>
  <c r="H44" i="2" s="1"/>
  <c r="G44" i="2" s="1"/>
  <c r="I41" i="2"/>
  <c r="I47" i="2"/>
  <c r="I43" i="2"/>
  <c r="H43" i="2" s="1"/>
  <c r="G43" i="2" s="1"/>
  <c r="J41" i="2"/>
  <c r="H17" i="2"/>
  <c r="R7" i="6" s="1"/>
  <c r="I36" i="2"/>
  <c r="I57" i="2" s="1"/>
  <c r="I35" i="2"/>
  <c r="I56" i="2" s="1"/>
  <c r="I34" i="2"/>
  <c r="I55" i="2" s="1"/>
  <c r="I33" i="2"/>
  <c r="I54" i="2" s="1"/>
  <c r="I32" i="2"/>
  <c r="I53" i="2" s="1"/>
  <c r="I31" i="2"/>
  <c r="I52" i="2" s="1"/>
  <c r="I30" i="2"/>
  <c r="I51" i="2" s="1"/>
  <c r="I29" i="2"/>
  <c r="I50" i="2" s="1"/>
  <c r="I28" i="2"/>
  <c r="I49" i="2" s="1"/>
  <c r="I27" i="2"/>
  <c r="I48" i="2" s="1"/>
  <c r="J36" i="2"/>
  <c r="J57" i="2" s="1"/>
  <c r="J35" i="2"/>
  <c r="J56" i="2" s="1"/>
  <c r="J34" i="2"/>
  <c r="J55" i="2" s="1"/>
  <c r="J33" i="2"/>
  <c r="J54" i="2" s="1"/>
  <c r="J32" i="2"/>
  <c r="J53" i="2" s="1"/>
  <c r="J31" i="2"/>
  <c r="J52" i="2" s="1"/>
  <c r="J30" i="2"/>
  <c r="J51" i="2" s="1"/>
  <c r="J29" i="2"/>
  <c r="J50" i="2" s="1"/>
  <c r="J28" i="2"/>
  <c r="J49" i="2" s="1"/>
  <c r="J27" i="2"/>
  <c r="J48" i="2" s="1"/>
  <c r="J26" i="2"/>
  <c r="J47" i="2" s="1"/>
  <c r="K36" i="2"/>
  <c r="K57" i="2" s="1"/>
  <c r="K35" i="2"/>
  <c r="K56" i="2" s="1"/>
  <c r="K34" i="2"/>
  <c r="K55" i="2" s="1"/>
  <c r="K33" i="2"/>
  <c r="K54" i="2" s="1"/>
  <c r="K32" i="2"/>
  <c r="K53" i="2" s="1"/>
  <c r="K31" i="2"/>
  <c r="K52" i="2" s="1"/>
  <c r="K30" i="2"/>
  <c r="K51" i="2" s="1"/>
  <c r="K29" i="2"/>
  <c r="K50" i="2" s="1"/>
  <c r="K28" i="2"/>
  <c r="K49" i="2" s="1"/>
  <c r="K27" i="2"/>
  <c r="K48" i="2" s="1"/>
  <c r="K26" i="2"/>
  <c r="K47" i="2" s="1"/>
  <c r="L36" i="2"/>
  <c r="L57" i="2" s="1"/>
  <c r="L35" i="2"/>
  <c r="L56" i="2" s="1"/>
  <c r="L34" i="2"/>
  <c r="L55" i="2" s="1"/>
  <c r="L33" i="2"/>
  <c r="L54" i="2" s="1"/>
  <c r="L32" i="2"/>
  <c r="L53" i="2" s="1"/>
  <c r="L31" i="2"/>
  <c r="L52" i="2" s="1"/>
  <c r="L30" i="2"/>
  <c r="L51" i="2" s="1"/>
  <c r="L29" i="2"/>
  <c r="L50" i="2" s="1"/>
  <c r="L28" i="2"/>
  <c r="L49" i="2" s="1"/>
  <c r="L27" i="2"/>
  <c r="L48" i="2" s="1"/>
  <c r="L26" i="2"/>
  <c r="L47" i="2" s="1"/>
  <c r="M36" i="2"/>
  <c r="M57" i="2" s="1"/>
  <c r="M35" i="2"/>
  <c r="M56" i="2" s="1"/>
  <c r="M34" i="2"/>
  <c r="M55" i="2" s="1"/>
  <c r="M33" i="2"/>
  <c r="M54" i="2" s="1"/>
  <c r="M32" i="2"/>
  <c r="M53" i="2" s="1"/>
  <c r="M31" i="2"/>
  <c r="M52" i="2" s="1"/>
  <c r="M30" i="2"/>
  <c r="M51" i="2" s="1"/>
  <c r="M29" i="2"/>
  <c r="M50" i="2" s="1"/>
  <c r="M28" i="2"/>
  <c r="M49" i="2" s="1"/>
  <c r="M27" i="2"/>
  <c r="M48" i="2" s="1"/>
  <c r="M26" i="2"/>
  <c r="M47" i="2" s="1"/>
  <c r="N36" i="2"/>
  <c r="N57" i="2" s="1"/>
  <c r="N35" i="2"/>
  <c r="N56" i="2" s="1"/>
  <c r="N34" i="2"/>
  <c r="N55" i="2" s="1"/>
  <c r="N33" i="2"/>
  <c r="N54" i="2" s="1"/>
  <c r="N32" i="2"/>
  <c r="N53" i="2" s="1"/>
  <c r="N31" i="2"/>
  <c r="N52" i="2" s="1"/>
  <c r="N30" i="2"/>
  <c r="N51" i="2" s="1"/>
  <c r="N29" i="2"/>
  <c r="N50" i="2" s="1"/>
  <c r="N28" i="2"/>
  <c r="N49" i="2" s="1"/>
  <c r="N27" i="2"/>
  <c r="N48" i="2" s="1"/>
  <c r="N26" i="2"/>
  <c r="N47" i="2" s="1"/>
  <c r="O36" i="2"/>
  <c r="O57" i="2" s="1"/>
  <c r="O35" i="2"/>
  <c r="O56" i="2" s="1"/>
  <c r="O34" i="2"/>
  <c r="O55" i="2" s="1"/>
  <c r="O33" i="2"/>
  <c r="O54" i="2" s="1"/>
  <c r="O32" i="2"/>
  <c r="O53" i="2" s="1"/>
  <c r="O31" i="2"/>
  <c r="O52" i="2" s="1"/>
  <c r="O30" i="2"/>
  <c r="O51" i="2" s="1"/>
  <c r="O29" i="2"/>
  <c r="O50" i="2" s="1"/>
  <c r="O28" i="2"/>
  <c r="O49" i="2" s="1"/>
  <c r="O27" i="2"/>
  <c r="O48" i="2" s="1"/>
  <c r="O26" i="2"/>
  <c r="O47" i="2" s="1"/>
  <c r="O25" i="2"/>
  <c r="O46" i="2" s="1"/>
  <c r="P36" i="2"/>
  <c r="P57" i="2" s="1"/>
  <c r="P35" i="2"/>
  <c r="P56" i="2" s="1"/>
  <c r="P34" i="2"/>
  <c r="P55" i="2" s="1"/>
  <c r="P33" i="2"/>
  <c r="P54" i="2" s="1"/>
  <c r="P32" i="2"/>
  <c r="P53" i="2" s="1"/>
  <c r="P31" i="2"/>
  <c r="P52" i="2" s="1"/>
  <c r="P30" i="2"/>
  <c r="P51" i="2" s="1"/>
  <c r="P29" i="2"/>
  <c r="P50" i="2" s="1"/>
  <c r="P28" i="2"/>
  <c r="P49" i="2" s="1"/>
  <c r="P27" i="2"/>
  <c r="P48" i="2" s="1"/>
  <c r="P26" i="2"/>
  <c r="P47" i="2" s="1"/>
  <c r="P25" i="2"/>
  <c r="P46" i="2" s="1"/>
  <c r="Q25" i="2"/>
  <c r="Q46" i="2" s="1"/>
  <c r="Q36" i="2"/>
  <c r="Q57" i="2" s="1"/>
  <c r="Q35" i="2"/>
  <c r="Q56" i="2" s="1"/>
  <c r="Q34" i="2"/>
  <c r="Q55" i="2" s="1"/>
  <c r="Q33" i="2"/>
  <c r="Q54" i="2" s="1"/>
  <c r="Q32" i="2"/>
  <c r="Q53" i="2" s="1"/>
  <c r="Q31" i="2"/>
  <c r="Q52" i="2" s="1"/>
  <c r="Q30" i="2"/>
  <c r="Q51" i="2" s="1"/>
  <c r="Q29" i="2"/>
  <c r="Q50" i="2" s="1"/>
  <c r="Q28" i="2"/>
  <c r="Q49" i="2" s="1"/>
  <c r="Q27" i="2"/>
  <c r="Q48" i="2" s="1"/>
  <c r="Q26" i="2"/>
  <c r="Q47" i="2" s="1"/>
  <c r="R26" i="2"/>
  <c r="R47" i="2" s="1"/>
  <c r="R36" i="2"/>
  <c r="R57" i="2" s="1"/>
  <c r="R35" i="2"/>
  <c r="R56" i="2" s="1"/>
  <c r="R34" i="2"/>
  <c r="R55" i="2" s="1"/>
  <c r="R33" i="2"/>
  <c r="R54" i="2" s="1"/>
  <c r="R32" i="2"/>
  <c r="R53" i="2" s="1"/>
  <c r="R31" i="2"/>
  <c r="R52" i="2" s="1"/>
  <c r="R30" i="2"/>
  <c r="R51" i="2" s="1"/>
  <c r="R29" i="2"/>
  <c r="R50" i="2" s="1"/>
  <c r="R28" i="2"/>
  <c r="R49" i="2" s="1"/>
  <c r="R27" i="2"/>
  <c r="R48" i="2" s="1"/>
  <c r="S27" i="2"/>
  <c r="S48" i="2" s="1"/>
  <c r="S36" i="2"/>
  <c r="S57" i="2" s="1"/>
  <c r="S35" i="2"/>
  <c r="S56" i="2" s="1"/>
  <c r="S34" i="2"/>
  <c r="S55" i="2" s="1"/>
  <c r="S33" i="2"/>
  <c r="S54" i="2" s="1"/>
  <c r="S32" i="2"/>
  <c r="S53" i="2" s="1"/>
  <c r="S31" i="2"/>
  <c r="S52" i="2" s="1"/>
  <c r="S30" i="2"/>
  <c r="S51" i="2" s="1"/>
  <c r="S29" i="2"/>
  <c r="S50" i="2" s="1"/>
  <c r="S28" i="2"/>
  <c r="S49" i="2" s="1"/>
  <c r="T28" i="2"/>
  <c r="T49" i="2" s="1"/>
  <c r="U29" i="2"/>
  <c r="U50" i="2" s="1"/>
  <c r="T36" i="2"/>
  <c r="T57" i="2" s="1"/>
  <c r="T35" i="2"/>
  <c r="T56" i="2" s="1"/>
  <c r="T34" i="2"/>
  <c r="T55" i="2" s="1"/>
  <c r="T33" i="2"/>
  <c r="T54" i="2" s="1"/>
  <c r="T32" i="2"/>
  <c r="T53" i="2" s="1"/>
  <c r="T31" i="2"/>
  <c r="T52" i="2" s="1"/>
  <c r="T30" i="2"/>
  <c r="T51" i="2" s="1"/>
  <c r="T29" i="2"/>
  <c r="T50" i="2" s="1"/>
  <c r="U36" i="2"/>
  <c r="U57" i="2" s="1"/>
  <c r="U35" i="2"/>
  <c r="U56" i="2" s="1"/>
  <c r="U34" i="2"/>
  <c r="U55" i="2" s="1"/>
  <c r="U33" i="2"/>
  <c r="U54" i="2" s="1"/>
  <c r="U32" i="2"/>
  <c r="U53" i="2" s="1"/>
  <c r="U31" i="2"/>
  <c r="U52" i="2" s="1"/>
  <c r="U30" i="2"/>
  <c r="U51" i="2" s="1"/>
  <c r="V30" i="2"/>
  <c r="V51" i="2" s="1"/>
  <c r="V36" i="2"/>
  <c r="V57" i="2" s="1"/>
  <c r="V35" i="2"/>
  <c r="V56" i="2" s="1"/>
  <c r="V34" i="2"/>
  <c r="V55" i="2" s="1"/>
  <c r="V33" i="2"/>
  <c r="V54" i="2" s="1"/>
  <c r="V32" i="2"/>
  <c r="V53" i="2" s="1"/>
  <c r="V31" i="2"/>
  <c r="V52" i="2" s="1"/>
  <c r="W31" i="2"/>
  <c r="W52" i="2" s="1"/>
  <c r="W36" i="2"/>
  <c r="W57" i="2" s="1"/>
  <c r="W35" i="2"/>
  <c r="W56" i="2" s="1"/>
  <c r="W34" i="2"/>
  <c r="W55" i="2" s="1"/>
  <c r="W33" i="2"/>
  <c r="W54" i="2" s="1"/>
  <c r="W32" i="2"/>
  <c r="W53" i="2" s="1"/>
  <c r="X32" i="2"/>
  <c r="X53" i="2" s="1"/>
  <c r="Y33" i="2"/>
  <c r="Y54" i="2" s="1"/>
  <c r="X36" i="2"/>
  <c r="X57" i="2" s="1"/>
  <c r="X35" i="2"/>
  <c r="X56" i="2" s="1"/>
  <c r="X34" i="2"/>
  <c r="X55" i="2" s="1"/>
  <c r="X33" i="2"/>
  <c r="X54" i="2" s="1"/>
  <c r="Y36" i="2"/>
  <c r="Y57" i="2" s="1"/>
  <c r="Y35" i="2"/>
  <c r="Y56" i="2" s="1"/>
  <c r="Y34" i="2"/>
  <c r="Y55" i="2" s="1"/>
  <c r="Z34" i="2"/>
  <c r="Z55" i="2" s="1"/>
  <c r="Z36" i="2"/>
  <c r="Z57" i="2" s="1"/>
  <c r="Z35" i="2"/>
  <c r="Z56" i="2" s="1"/>
  <c r="AA35" i="2"/>
  <c r="AA56" i="2" s="1"/>
  <c r="AB36" i="2"/>
  <c r="AB57" i="2" s="1"/>
  <c r="AA36" i="2"/>
  <c r="AA57" i="2" s="1"/>
  <c r="P24" i="2"/>
  <c r="P45" i="2" s="1"/>
  <c r="H45" i="2" s="1"/>
  <c r="G45" i="2" s="1"/>
  <c r="J5" i="2"/>
  <c r="D17" i="6" s="1"/>
  <c r="E8" i="4"/>
  <c r="H41" i="2" l="1"/>
  <c r="G41" i="2" s="1"/>
  <c r="N1" i="4"/>
  <c r="M2" i="4"/>
  <c r="H46" i="2"/>
  <c r="G46" i="2" s="1"/>
  <c r="H47" i="2"/>
  <c r="G47" i="2" s="1"/>
  <c r="H49" i="2"/>
  <c r="G49" i="2" s="1"/>
  <c r="H51" i="2"/>
  <c r="G51" i="2" s="1"/>
  <c r="H53" i="2"/>
  <c r="G53" i="2" s="1"/>
  <c r="H55" i="2"/>
  <c r="G55" i="2" s="1"/>
  <c r="H57" i="2"/>
  <c r="G57" i="2" s="1"/>
  <c r="H48" i="2"/>
  <c r="G48" i="2" s="1"/>
  <c r="H50" i="2"/>
  <c r="G50" i="2" s="1"/>
  <c r="H52" i="2"/>
  <c r="G52" i="2" s="1"/>
  <c r="H54" i="2"/>
  <c r="G54" i="2" s="1"/>
  <c r="H56" i="2"/>
  <c r="G56" i="2" s="1"/>
  <c r="D19" i="6"/>
  <c r="D18" i="6"/>
  <c r="D8" i="4" s="1"/>
  <c r="E11" i="4"/>
  <c r="N2" i="4" l="1"/>
  <c r="O1" i="4"/>
  <c r="F25" i="4"/>
  <c r="F27" i="4"/>
  <c r="F29" i="4"/>
  <c r="F31" i="4"/>
  <c r="F33" i="4"/>
  <c r="F35" i="4"/>
  <c r="F37" i="4"/>
  <c r="F39" i="4"/>
  <c r="F41" i="4"/>
  <c r="F43" i="4"/>
  <c r="E25" i="4"/>
  <c r="E27" i="4"/>
  <c r="E29" i="4"/>
  <c r="E31" i="4"/>
  <c r="E33" i="4"/>
  <c r="E35" i="4"/>
  <c r="E37" i="4"/>
  <c r="E39" i="4"/>
  <c r="E41" i="4"/>
  <c r="E43" i="4"/>
  <c r="E10" i="4"/>
  <c r="F24" i="4"/>
  <c r="F26" i="4"/>
  <c r="F28" i="4"/>
  <c r="F30" i="4"/>
  <c r="F32" i="4"/>
  <c r="F34" i="4"/>
  <c r="F36" i="4"/>
  <c r="F38" i="4"/>
  <c r="F40" i="4"/>
  <c r="F42" i="4"/>
  <c r="E24" i="4"/>
  <c r="E26" i="4"/>
  <c r="E28" i="4"/>
  <c r="E30" i="4"/>
  <c r="E32" i="4"/>
  <c r="E34" i="4"/>
  <c r="E36" i="4"/>
  <c r="E38" i="4"/>
  <c r="E40" i="4"/>
  <c r="E42" i="4"/>
  <c r="E9" i="4"/>
  <c r="E6" i="4"/>
  <c r="C41" i="4"/>
  <c r="D41" i="4" s="1"/>
  <c r="C37" i="4"/>
  <c r="D37" i="4" s="1"/>
  <c r="C33" i="4"/>
  <c r="D33" i="4" s="1"/>
  <c r="C29" i="4"/>
  <c r="D29" i="4" s="1"/>
  <c r="C25" i="4"/>
  <c r="D25" i="4" s="1"/>
  <c r="C24" i="4"/>
  <c r="C40" i="4"/>
  <c r="D40" i="4" s="1"/>
  <c r="C36" i="4"/>
  <c r="D36" i="4" s="1"/>
  <c r="C32" i="4"/>
  <c r="D32" i="4" s="1"/>
  <c r="C28" i="4"/>
  <c r="D28" i="4" s="1"/>
  <c r="C43" i="4"/>
  <c r="D43" i="4" s="1"/>
  <c r="C39" i="4"/>
  <c r="D39" i="4" s="1"/>
  <c r="C35" i="4"/>
  <c r="D35" i="4" s="1"/>
  <c r="C31" i="4"/>
  <c r="D31" i="4" s="1"/>
  <c r="C27" i="4"/>
  <c r="D27" i="4" s="1"/>
  <c r="C42" i="4"/>
  <c r="D42" i="4" s="1"/>
  <c r="C38" i="4"/>
  <c r="D38" i="4" s="1"/>
  <c r="C34" i="4"/>
  <c r="D34" i="4" s="1"/>
  <c r="C30" i="4"/>
  <c r="D30" i="4" s="1"/>
  <c r="C26" i="4"/>
  <c r="D26" i="4" s="1"/>
  <c r="O2" i="4" l="1"/>
  <c r="P1" i="4"/>
  <c r="C44" i="4"/>
  <c r="D24" i="4"/>
  <c r="D44" i="4" s="1"/>
  <c r="E44" i="4"/>
  <c r="F44" i="4"/>
  <c r="D12" i="4" s="1"/>
  <c r="P2" i="4" l="1"/>
  <c r="Q1" i="4"/>
  <c r="D11" i="4"/>
  <c r="D23" i="6" s="1"/>
  <c r="D6" i="4"/>
  <c r="D13" i="4"/>
  <c r="D14" i="4" s="1"/>
  <c r="D22" i="6" s="1"/>
  <c r="D9" i="4"/>
  <c r="R1" i="4" l="1"/>
  <c r="Q2" i="4"/>
  <c r="D10" i="4"/>
  <c r="D21" i="6" s="1"/>
  <c r="D20" i="6"/>
  <c r="N4" i="4"/>
  <c r="P4" i="4"/>
  <c r="R4" i="4"/>
  <c r="L4" i="4"/>
  <c r="J4" i="4"/>
  <c r="M4" i="4"/>
  <c r="O4" i="4"/>
  <c r="Q4" i="4"/>
  <c r="K4" i="4"/>
  <c r="R2" i="4" l="1"/>
  <c r="S1" i="4"/>
  <c r="S2" i="4" l="1"/>
  <c r="S4" i="4"/>
</calcChain>
</file>

<file path=xl/sharedStrings.xml><?xml version="1.0" encoding="utf-8"?>
<sst xmlns="http://schemas.openxmlformats.org/spreadsheetml/2006/main" count="94" uniqueCount="73">
  <si>
    <t>Period</t>
  </si>
  <si>
    <t>Yield to</t>
  </si>
  <si>
    <t>Maturity</t>
  </si>
  <si>
    <t>Rate</t>
  </si>
  <si>
    <t>Market</t>
  </si>
  <si>
    <t>Price</t>
  </si>
  <si>
    <t>Coupon</t>
  </si>
  <si>
    <t>na</t>
  </si>
  <si>
    <t>Settlement</t>
  </si>
  <si>
    <t>Years</t>
  </si>
  <si>
    <t xml:space="preserve">Number of payments per year  = </t>
  </si>
  <si>
    <t>Implied</t>
  </si>
  <si>
    <t xml:space="preserve">Par value = </t>
  </si>
  <si>
    <t>Spot Rates</t>
  </si>
  <si>
    <t xml:space="preserve">Coupon rate = </t>
  </si>
  <si>
    <t xml:space="preserve">Settlement date = </t>
  </si>
  <si>
    <t xml:space="preserve">Maturity date = </t>
  </si>
  <si>
    <t>Pricing and Cash Flow Output</t>
  </si>
  <si>
    <t xml:space="preserve">Number of payments = </t>
  </si>
  <si>
    <t xml:space="preserve">Model price of bond = </t>
  </si>
  <si>
    <t>Cash flow</t>
  </si>
  <si>
    <t>PV of cash flow</t>
  </si>
  <si>
    <t>Implied Spot Rate Calculations</t>
  </si>
  <si>
    <t>zero</t>
  </si>
  <si>
    <t>$            0</t>
  </si>
  <si>
    <t>Output</t>
  </si>
  <si>
    <t>"Manual"</t>
  </si>
  <si>
    <t>Market Price of Bond =</t>
  </si>
  <si>
    <t>Years to maturity =</t>
  </si>
  <si>
    <t>Current yield =</t>
  </si>
  <si>
    <t>Macaulay's Duration =</t>
  </si>
  <si>
    <t>Modified Duration =</t>
  </si>
  <si>
    <t>Price value of a basis point =</t>
  </si>
  <si>
    <t>Second Derivative =</t>
  </si>
  <si>
    <t>n.a.</t>
  </si>
  <si>
    <t>Convexity (half years) =</t>
  </si>
  <si>
    <t>Convexity (years) =</t>
  </si>
  <si>
    <t>Common Data</t>
  </si>
  <si>
    <t>Duration Calculations</t>
  </si>
  <si>
    <t>Price Sensitivity</t>
  </si>
  <si>
    <t>Convexity</t>
  </si>
  <si>
    <t>Reinvestment</t>
  </si>
  <si>
    <t>Calculations</t>
  </si>
  <si>
    <t>'t' times</t>
  </si>
  <si>
    <t>Rate Plus One</t>
  </si>
  <si>
    <t>PV of</t>
  </si>
  <si>
    <t>Basis point</t>
  </si>
  <si>
    <t>$ Cash</t>
  </si>
  <si>
    <t>Cash</t>
  </si>
  <si>
    <t>Period (t)</t>
  </si>
  <si>
    <t>Flow</t>
  </si>
  <si>
    <t>Cash Flow</t>
  </si>
  <si>
    <t>Treasury Bond Pricing Using Yield to Maturity</t>
  </si>
  <si>
    <t>Treasury Bond Pricing Off The Theoretical Spot Rate Curve</t>
  </si>
  <si>
    <t>Input Information for Treasury Bond to be Priced</t>
  </si>
  <si>
    <t xml:space="preserve">Yield to maturity = </t>
  </si>
  <si>
    <t xml:space="preserve">Bond modified duration = </t>
  </si>
  <si>
    <t xml:space="preserve">Bond convexity = </t>
  </si>
  <si>
    <t xml:space="preserve">Price value of a basis point = </t>
  </si>
  <si>
    <t xml:space="preserve">Current yield = </t>
  </si>
  <si>
    <t xml:space="preserve">Bond duration = </t>
  </si>
  <si>
    <t>Place "Compute" button here</t>
  </si>
  <si>
    <t>Note:  No IF statements are necessary in either of the "triangles"</t>
  </si>
  <si>
    <t>Implied Spot Rates (per annum) in Pink Cells and Cash Flows at End Each Period (semiannual payments) in Yellow Cells</t>
  </si>
  <si>
    <t>PV of Coupon Payments and Maturity Value for Each Treasury Bond</t>
  </si>
  <si>
    <t>Treasury Bill and Bond Input Data</t>
  </si>
  <si>
    <t>Spot Rate</t>
  </si>
  <si>
    <t>Yield to Maturity</t>
  </si>
  <si>
    <t>Excel or User Functions</t>
  </si>
  <si>
    <t>YTM</t>
  </si>
  <si>
    <t>Maturity Date</t>
  </si>
  <si>
    <t>Years to maturity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</si>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</sst>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0.000%"/>
    <numFmt numFmtId="166" formatCode="0.0000%"/>
    <numFmt numFmtId="167" formatCode="_(* #,##0.0_);_(* \(#,##0.0\);_(* &quot;-&quot;??_);_(@_)"/>
    <numFmt numFmtId="168" formatCode="_(&quot;$&quot;* #,##0.0000_);_(&quot;$&quot;* \(#,##0.0000\);_(&quot;$&quot;* &quot;-&quot;??_);_(@_)"/>
    <numFmt numFmtId="169" formatCode="_(&quot;$&quot;* #,##0.00000_);_(&quot;$&quot;* \(#,##0.00000\);_(&quot;$&quot;* &quot;-&quot;??_);_(@_)"/>
    <numFmt numFmtId="170" formatCode="0.0000"/>
    <numFmt numFmtId="171" formatCode="_(* #,##0.0000_);_(* \(#,##0.0000\);_(* &quot;-&quot;??_);_(@_)"/>
    <numFmt numFmtId="172" formatCode="0.00000000000"/>
    <numFmt numFmtId="173" formatCode="0.0"/>
    <numFmt numFmtId="174" formatCode="&quot;$&quot;#,##0.0000_);[Red]\(&quot;$&quot;#,##0.0000\)"/>
    <numFmt numFmtId="175" formatCode="0.000"/>
    <numFmt numFmtId="176" formatCode="&quot;$&quot;#,##0.0_);[Red]\(&quot;$&quot;#,##0.0\)"/>
    <numFmt numFmtId="177" formatCode="_-&quot;$&quot;* #,##0.000_-;\-&quot;$&quot;* #,##0.000_-;_-&quot;$&quot;* &quot;-&quot;??_-;_-@_-"/>
    <numFmt numFmtId="178" formatCode="0.0%"/>
    <numFmt numFmtId="179" formatCode="_(&quot;$&quot;* #,##0.000_);_(&quot;$&quot;* \(#,##0.000\);_(&quot;$&quot;* &quot;-&quot;??_);_(@_)"/>
  </numFmts>
  <fonts count="14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color rgb="FF000000"/>
      <name val="Helvetica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b/>
      <sz val="10"/>
      <color rgb="FFFF0000"/>
      <name val="Times New Roman"/>
      <family val="1"/>
    </font>
    <font>
      <sz val="10"/>
      <color indexed="12"/>
      <name val="Times New Roman"/>
      <family val="1"/>
    </font>
    <font>
      <b/>
      <sz val="14"/>
      <name val="Times New Roman"/>
      <family val="1"/>
    </font>
    <font>
      <sz val="7"/>
      <name val="Times New Roman"/>
      <family val="1"/>
    </font>
    <font>
      <sz val="10"/>
      <color rgb="FF0000FF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2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58">
    <xf numFmtId="0" fontId="0" fillId="0" borderId="0" xfId="0"/>
    <xf numFmtId="0" fontId="6" fillId="2" borderId="0" xfId="0" applyFont="1" applyFill="1"/>
    <xf numFmtId="0" fontId="6" fillId="2" borderId="31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6" fillId="2" borderId="33" xfId="0" applyFont="1" applyFill="1" applyBorder="1"/>
    <xf numFmtId="0" fontId="6" fillId="2" borderId="36" xfId="0" applyFont="1" applyFill="1" applyBorder="1"/>
    <xf numFmtId="0" fontId="6" fillId="2" borderId="3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0" xfId="0" applyFont="1" applyFill="1" applyBorder="1"/>
    <xf numFmtId="170" fontId="6" fillId="2" borderId="0" xfId="0" applyNumberFormat="1" applyFont="1" applyFill="1" applyBorder="1"/>
    <xf numFmtId="168" fontId="6" fillId="2" borderId="12" xfId="0" applyNumberFormat="1" applyFont="1" applyFill="1" applyBorder="1"/>
    <xf numFmtId="170" fontId="6" fillId="2" borderId="40" xfId="0" applyNumberFormat="1" applyFont="1" applyFill="1" applyBorder="1"/>
    <xf numFmtId="0" fontId="7" fillId="2" borderId="0" xfId="0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0" fontId="7" fillId="2" borderId="43" xfId="0" applyFont="1" applyFill="1" applyBorder="1" applyAlignment="1">
      <alignment horizontal="right"/>
    </xf>
    <xf numFmtId="10" fontId="7" fillId="2" borderId="50" xfId="3" applyNumberFormat="1" applyFont="1" applyFill="1" applyBorder="1"/>
    <xf numFmtId="0" fontId="6" fillId="2" borderId="0" xfId="0" applyFont="1" applyFill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Continuous"/>
    </xf>
    <xf numFmtId="0" fontId="7" fillId="2" borderId="10" xfId="0" applyFont="1" applyFill="1" applyBorder="1" applyAlignment="1">
      <alignment horizontal="centerContinuous"/>
    </xf>
    <xf numFmtId="0" fontId="7" fillId="2" borderId="14" xfId="0" applyFont="1" applyFill="1" applyBorder="1" applyAlignment="1">
      <alignment horizontal="centerContinuous"/>
    </xf>
    <xf numFmtId="0" fontId="6" fillId="2" borderId="9" xfId="0" applyFont="1" applyFill="1" applyBorder="1" applyAlignment="1">
      <alignment horizontal="centerContinuous"/>
    </xf>
    <xf numFmtId="0" fontId="6" fillId="2" borderId="23" xfId="0" applyFont="1" applyFill="1" applyBorder="1" applyAlignment="1">
      <alignment horizontal="center"/>
    </xf>
    <xf numFmtId="0" fontId="6" fillId="2" borderId="24" xfId="0" applyFont="1" applyFill="1" applyBorder="1"/>
    <xf numFmtId="0" fontId="6" fillId="2" borderId="10" xfId="0" applyFont="1" applyFill="1" applyBorder="1" applyAlignment="1">
      <alignment horizontal="right"/>
    </xf>
    <xf numFmtId="0" fontId="6" fillId="2" borderId="13" xfId="0" applyFont="1" applyFill="1" applyBorder="1"/>
    <xf numFmtId="0" fontId="6" fillId="2" borderId="10" xfId="0" quotePrefix="1" applyFont="1" applyFill="1" applyBorder="1" applyAlignment="1">
      <alignment horizontal="center"/>
    </xf>
    <xf numFmtId="0" fontId="6" fillId="2" borderId="25" xfId="0" applyFont="1" applyFill="1" applyBorder="1"/>
    <xf numFmtId="0" fontId="6" fillId="2" borderId="13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Continuous"/>
    </xf>
    <xf numFmtId="0" fontId="6" fillId="2" borderId="24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5" xfId="0" quotePrefix="1" applyFont="1" applyFill="1" applyBorder="1" applyAlignment="1">
      <alignment horizontal="center"/>
    </xf>
    <xf numFmtId="44" fontId="6" fillId="2" borderId="12" xfId="2" applyNumberFormat="1" applyFont="1" applyFill="1" applyBorder="1"/>
    <xf numFmtId="2" fontId="6" fillId="2" borderId="27" xfId="0" applyNumberFormat="1" applyFont="1" applyFill="1" applyBorder="1" applyAlignment="1">
      <alignment horizontal="right"/>
    </xf>
    <xf numFmtId="44" fontId="6" fillId="2" borderId="12" xfId="2" applyFont="1" applyFill="1" applyBorder="1"/>
    <xf numFmtId="0" fontId="6" fillId="2" borderId="28" xfId="0" applyNumberFormat="1" applyFont="1" applyFill="1" applyBorder="1"/>
    <xf numFmtId="0" fontId="6" fillId="2" borderId="29" xfId="0" applyNumberFormat="1" applyFont="1" applyFill="1" applyBorder="1"/>
    <xf numFmtId="44" fontId="6" fillId="2" borderId="29" xfId="2" applyNumberFormat="1" applyFont="1" applyFill="1" applyBorder="1"/>
    <xf numFmtId="44" fontId="6" fillId="2" borderId="29" xfId="2" applyFont="1" applyFill="1" applyBorder="1"/>
    <xf numFmtId="44" fontId="6" fillId="2" borderId="29" xfId="2" applyFont="1" applyFill="1" applyBorder="1" applyAlignment="1">
      <alignment horizontal="center"/>
    </xf>
    <xf numFmtId="44" fontId="6" fillId="2" borderId="30" xfId="2" applyFont="1" applyFill="1" applyBorder="1" applyAlignment="1">
      <alignment horizontal="center"/>
    </xf>
    <xf numFmtId="0" fontId="8" fillId="2" borderId="0" xfId="0" applyNumberFormat="1" applyFont="1" applyFill="1" applyBorder="1" applyAlignment="1">
      <alignment horizontal="center"/>
    </xf>
    <xf numFmtId="44" fontId="6" fillId="2" borderId="0" xfId="2" applyFont="1" applyFill="1" applyBorder="1"/>
    <xf numFmtId="44" fontId="6" fillId="2" borderId="0" xfId="2" applyNumberFormat="1" applyFont="1" applyFill="1" applyBorder="1"/>
    <xf numFmtId="44" fontId="6" fillId="2" borderId="0" xfId="2" applyFont="1" applyFill="1" applyBorder="1" applyAlignment="1">
      <alignment horizontal="center"/>
    </xf>
    <xf numFmtId="170" fontId="6" fillId="2" borderId="0" xfId="0" applyNumberFormat="1" applyFont="1" applyFill="1" applyBorder="1" applyAlignment="1">
      <alignment horizontal="right"/>
    </xf>
    <xf numFmtId="0" fontId="6" fillId="2" borderId="0" xfId="0" applyNumberFormat="1" applyFont="1" applyFill="1" applyBorder="1"/>
    <xf numFmtId="170" fontId="6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4" xfId="0" applyFont="1" applyFill="1" applyBorder="1" applyAlignment="1">
      <alignment horizontal="center"/>
    </xf>
    <xf numFmtId="0" fontId="6" fillId="2" borderId="0" xfId="0" applyFont="1" applyFill="1" applyBorder="1"/>
    <xf numFmtId="0" fontId="7" fillId="2" borderId="1" xfId="0" applyFont="1" applyFill="1" applyBorder="1" applyAlignment="1">
      <alignment horizontal="centerContinuous"/>
    </xf>
    <xf numFmtId="0" fontId="7" fillId="2" borderId="2" xfId="0" applyFont="1" applyFill="1" applyBorder="1" applyAlignment="1">
      <alignment horizontal="centerContinuous"/>
    </xf>
    <xf numFmtId="0" fontId="7" fillId="2" borderId="4" xfId="0" applyFont="1" applyFill="1" applyBorder="1" applyAlignment="1">
      <alignment horizontal="centerContinuous"/>
    </xf>
    <xf numFmtId="0" fontId="6" fillId="2" borderId="7" xfId="0" applyFont="1" applyFill="1" applyBorder="1"/>
    <xf numFmtId="0" fontId="6" fillId="2" borderId="11" xfId="0" applyFont="1" applyFill="1" applyBorder="1"/>
    <xf numFmtId="0" fontId="6" fillId="2" borderId="0" xfId="0" applyFont="1" applyFill="1" applyBorder="1" applyAlignment="1">
      <alignment horizontal="right"/>
    </xf>
    <xf numFmtId="165" fontId="6" fillId="2" borderId="0" xfId="3" applyNumberFormat="1" applyFont="1" applyFill="1" applyBorder="1"/>
    <xf numFmtId="14" fontId="6" fillId="2" borderId="0" xfId="0" applyNumberFormat="1" applyFont="1" applyFill="1" applyBorder="1"/>
    <xf numFmtId="14" fontId="6" fillId="2" borderId="0" xfId="1" applyNumberFormat="1" applyFont="1" applyFill="1" applyBorder="1" applyAlignment="1"/>
    <xf numFmtId="0" fontId="6" fillId="2" borderId="12" xfId="0" applyFont="1" applyFill="1" applyBorder="1"/>
    <xf numFmtId="0" fontId="6" fillId="2" borderId="12" xfId="0" applyFont="1" applyFill="1" applyBorder="1" applyAlignment="1">
      <alignment horizontal="right"/>
    </xf>
    <xf numFmtId="0" fontId="8" fillId="2" borderId="1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right"/>
    </xf>
    <xf numFmtId="168" fontId="6" fillId="2" borderId="9" xfId="0" applyNumberFormat="1" applyFont="1" applyFill="1" applyBorder="1"/>
    <xf numFmtId="168" fontId="6" fillId="2" borderId="0" xfId="0" applyNumberFormat="1" applyFont="1" applyFill="1" applyBorder="1"/>
    <xf numFmtId="0" fontId="6" fillId="2" borderId="15" xfId="0" applyFont="1" applyFill="1" applyBorder="1" applyAlignment="1">
      <alignment horizontal="right"/>
    </xf>
    <xf numFmtId="8" fontId="6" fillId="2" borderId="8" xfId="0" applyNumberFormat="1" applyFont="1" applyFill="1" applyBorder="1"/>
    <xf numFmtId="8" fontId="6" fillId="2" borderId="0" xfId="0" applyNumberFormat="1" applyFont="1" applyFill="1" applyBorder="1"/>
    <xf numFmtId="0" fontId="6" fillId="2" borderId="5" xfId="0" applyFont="1" applyFill="1" applyBorder="1"/>
    <xf numFmtId="0" fontId="6" fillId="2" borderId="6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166" fontId="6" fillId="2" borderId="2" xfId="3" applyNumberFormat="1" applyFont="1" applyFill="1" applyBorder="1"/>
    <xf numFmtId="166" fontId="6" fillId="2" borderId="4" xfId="3" applyNumberFormat="1" applyFont="1" applyFill="1" applyBorder="1"/>
    <xf numFmtId="166" fontId="6" fillId="2" borderId="14" xfId="3" applyNumberFormat="1" applyFont="1" applyFill="1" applyBorder="1"/>
    <xf numFmtId="168" fontId="8" fillId="2" borderId="6" xfId="2" applyNumberFormat="1" applyFont="1" applyFill="1" applyBorder="1"/>
    <xf numFmtId="168" fontId="8" fillId="2" borderId="7" xfId="2" applyNumberFormat="1" applyFont="1" applyFill="1" applyBorder="1"/>
    <xf numFmtId="168" fontId="6" fillId="2" borderId="7" xfId="0" applyNumberFormat="1" applyFont="1" applyFill="1" applyBorder="1"/>
    <xf numFmtId="168" fontId="6" fillId="2" borderId="11" xfId="0" applyNumberFormat="1" applyFont="1" applyFill="1" applyBorder="1"/>
    <xf numFmtId="166" fontId="6" fillId="2" borderId="13" xfId="3" applyNumberFormat="1" applyFont="1" applyFill="1" applyBorder="1"/>
    <xf numFmtId="168" fontId="8" fillId="2" borderId="9" xfId="0" quotePrefix="1" applyNumberFormat="1" applyFont="1" applyFill="1" applyBorder="1"/>
    <xf numFmtId="168" fontId="8" fillId="2" borderId="0" xfId="2" applyNumberFormat="1" applyFont="1" applyFill="1" applyBorder="1"/>
    <xf numFmtId="168" fontId="6" fillId="2" borderId="10" xfId="0" applyNumberFormat="1" applyFont="1" applyFill="1" applyBorder="1"/>
    <xf numFmtId="166" fontId="6" fillId="2" borderId="15" xfId="3" applyNumberFormat="1" applyFont="1" applyFill="1" applyBorder="1"/>
    <xf numFmtId="168" fontId="6" fillId="2" borderId="8" xfId="0" applyNumberFormat="1" applyFont="1" applyFill="1" applyBorder="1"/>
    <xf numFmtId="168" fontId="6" fillId="2" borderId="3" xfId="0" applyNumberFormat="1" applyFont="1" applyFill="1" applyBorder="1"/>
    <xf numFmtId="168" fontId="6" fillId="2" borderId="5" xfId="0" applyNumberFormat="1" applyFont="1" applyFill="1" applyBorder="1"/>
    <xf numFmtId="0" fontId="8" fillId="2" borderId="0" xfId="0" applyFont="1" applyFill="1" applyAlignment="1">
      <alignment horizontal="center"/>
    </xf>
    <xf numFmtId="167" fontId="6" fillId="2" borderId="0" xfId="1" applyNumberFormat="1" applyFont="1" applyFill="1" applyAlignment="1"/>
    <xf numFmtId="14" fontId="8" fillId="2" borderId="0" xfId="0" applyNumberFormat="1" applyFont="1" applyFill="1"/>
    <xf numFmtId="14" fontId="8" fillId="2" borderId="0" xfId="1" applyNumberFormat="1" applyFont="1" applyFill="1" applyAlignment="1"/>
    <xf numFmtId="165" fontId="8" fillId="2" borderId="0" xfId="3" applyNumberFormat="1" applyFont="1" applyFill="1"/>
    <xf numFmtId="169" fontId="8" fillId="2" borderId="0" xfId="2" applyNumberFormat="1" applyFont="1" applyFill="1"/>
    <xf numFmtId="166" fontId="6" fillId="2" borderId="0" xfId="3" applyNumberFormat="1" applyFont="1" applyFill="1"/>
    <xf numFmtId="166" fontId="6" fillId="2" borderId="0" xfId="3" applyNumberFormat="1" applyFont="1" applyFill="1" applyBorder="1"/>
    <xf numFmtId="168" fontId="6" fillId="2" borderId="7" xfId="2" applyNumberFormat="1" applyFont="1" applyFill="1" applyBorder="1" applyAlignment="1">
      <alignment horizontal="center"/>
    </xf>
    <xf numFmtId="167" fontId="6" fillId="2" borderId="9" xfId="0" applyNumberFormat="1" applyFont="1" applyFill="1" applyBorder="1"/>
    <xf numFmtId="176" fontId="6" fillId="2" borderId="10" xfId="0" applyNumberFormat="1" applyFont="1" applyFill="1" applyBorder="1"/>
    <xf numFmtId="43" fontId="6" fillId="2" borderId="9" xfId="0" applyNumberFormat="1" applyFont="1" applyFill="1" applyBorder="1"/>
    <xf numFmtId="8" fontId="6" fillId="2" borderId="10" xfId="0" applyNumberFormat="1" applyFont="1" applyFill="1" applyBorder="1"/>
    <xf numFmtId="43" fontId="6" fillId="2" borderId="8" xfId="0" applyNumberFormat="1" applyFont="1" applyFill="1" applyBorder="1"/>
    <xf numFmtId="8" fontId="6" fillId="2" borderId="5" xfId="0" applyNumberFormat="1" applyFont="1" applyFill="1" applyBorder="1"/>
    <xf numFmtId="0" fontId="9" fillId="2" borderId="0" xfId="0" applyFont="1" applyFill="1" applyBorder="1"/>
    <xf numFmtId="0" fontId="10" fillId="2" borderId="6" xfId="0" applyFont="1" applyFill="1" applyBorder="1" applyAlignment="1">
      <alignment horizontal="center"/>
    </xf>
    <xf numFmtId="167" fontId="10" fillId="2" borderId="7" xfId="1" applyNumberFormat="1" applyFont="1" applyFill="1" applyBorder="1" applyAlignment="1"/>
    <xf numFmtId="14" fontId="10" fillId="2" borderId="7" xfId="0" applyNumberFormat="1" applyFont="1" applyFill="1" applyBorder="1"/>
    <xf numFmtId="14" fontId="10" fillId="2" borderId="7" xfId="1" applyNumberFormat="1" applyFont="1" applyFill="1" applyBorder="1" applyAlignment="1"/>
    <xf numFmtId="0" fontId="10" fillId="2" borderId="7" xfId="0" applyFont="1" applyFill="1" applyBorder="1" applyAlignment="1">
      <alignment horizontal="right"/>
    </xf>
    <xf numFmtId="169" fontId="10" fillId="2" borderId="7" xfId="2" applyNumberFormat="1" applyFont="1" applyFill="1" applyBorder="1" applyAlignment="1">
      <alignment horizontal="right"/>
    </xf>
    <xf numFmtId="0" fontId="10" fillId="2" borderId="9" xfId="0" applyFont="1" applyFill="1" applyBorder="1" applyAlignment="1">
      <alignment horizontal="center"/>
    </xf>
    <xf numFmtId="167" fontId="10" fillId="2" borderId="0" xfId="1" applyNumberFormat="1" applyFont="1" applyFill="1" applyBorder="1" applyAlignment="1"/>
    <xf numFmtId="14" fontId="10" fillId="2" borderId="0" xfId="0" applyNumberFormat="1" applyFont="1" applyFill="1" applyBorder="1"/>
    <xf numFmtId="14" fontId="10" fillId="2" borderId="0" xfId="1" applyNumberFormat="1" applyFont="1" applyFill="1" applyBorder="1" applyAlignment="1"/>
    <xf numFmtId="0" fontId="10" fillId="2" borderId="0" xfId="0" applyFont="1" applyFill="1" applyBorder="1" applyAlignment="1">
      <alignment horizontal="right"/>
    </xf>
    <xf numFmtId="169" fontId="10" fillId="2" borderId="0" xfId="2" applyNumberFormat="1" applyFont="1" applyFill="1" applyBorder="1" applyAlignment="1">
      <alignment horizontal="right"/>
    </xf>
    <xf numFmtId="165" fontId="10" fillId="2" borderId="0" xfId="3" applyNumberFormat="1" applyFont="1" applyFill="1" applyBorder="1"/>
    <xf numFmtId="169" fontId="10" fillId="2" borderId="0" xfId="2" applyNumberFormat="1" applyFont="1" applyFill="1" applyBorder="1"/>
    <xf numFmtId="0" fontId="10" fillId="2" borderId="8" xfId="0" applyFont="1" applyFill="1" applyBorder="1" applyAlignment="1">
      <alignment horizontal="center"/>
    </xf>
    <xf numFmtId="167" fontId="10" fillId="2" borderId="3" xfId="1" applyNumberFormat="1" applyFont="1" applyFill="1" applyBorder="1" applyAlignment="1"/>
    <xf numFmtId="14" fontId="10" fillId="2" borderId="3" xfId="0" applyNumberFormat="1" applyFont="1" applyFill="1" applyBorder="1"/>
    <xf numFmtId="14" fontId="10" fillId="2" borderId="3" xfId="1" applyNumberFormat="1" applyFont="1" applyFill="1" applyBorder="1" applyAlignment="1"/>
    <xf numFmtId="165" fontId="10" fillId="2" borderId="3" xfId="3" applyNumberFormat="1" applyFont="1" applyFill="1" applyBorder="1"/>
    <xf numFmtId="169" fontId="10" fillId="2" borderId="3" xfId="2" applyNumberFormat="1" applyFont="1" applyFill="1" applyBorder="1"/>
    <xf numFmtId="179" fontId="6" fillId="2" borderId="0" xfId="0" applyNumberFormat="1" applyFont="1" applyFill="1" applyBorder="1"/>
    <xf numFmtId="44" fontId="6" fillId="2" borderId="0" xfId="0" applyNumberFormat="1" applyFont="1" applyFill="1" applyBorder="1"/>
    <xf numFmtId="0" fontId="10" fillId="2" borderId="14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169" fontId="10" fillId="2" borderId="6" xfId="2" applyNumberFormat="1" applyFont="1" applyFill="1" applyBorder="1" applyAlignment="1">
      <alignment horizontal="center"/>
    </xf>
    <xf numFmtId="169" fontId="10" fillId="2" borderId="11" xfId="2" applyNumberFormat="1" applyFont="1" applyFill="1" applyBorder="1" applyAlignment="1">
      <alignment horizontal="center"/>
    </xf>
    <xf numFmtId="168" fontId="10" fillId="2" borderId="6" xfId="2" applyNumberFormat="1" applyFont="1" applyFill="1" applyBorder="1" applyAlignment="1">
      <alignment horizontal="center"/>
    </xf>
    <xf numFmtId="166" fontId="10" fillId="2" borderId="9" xfId="3" applyNumberFormat="1" applyFont="1" applyFill="1" applyBorder="1" applyAlignment="1">
      <alignment horizontal="center"/>
    </xf>
    <xf numFmtId="166" fontId="10" fillId="2" borderId="10" xfId="3" applyNumberFormat="1" applyFont="1" applyFill="1" applyBorder="1" applyAlignment="1">
      <alignment horizontal="center"/>
    </xf>
    <xf numFmtId="168" fontId="10" fillId="2" borderId="9" xfId="0" applyNumberFormat="1" applyFont="1" applyFill="1" applyBorder="1" applyAlignment="1">
      <alignment horizontal="center"/>
    </xf>
    <xf numFmtId="166" fontId="10" fillId="2" borderId="0" xfId="3" applyNumberFormat="1" applyFont="1" applyFill="1" applyBorder="1" applyAlignment="1">
      <alignment horizontal="center"/>
    </xf>
    <xf numFmtId="174" fontId="7" fillId="2" borderId="12" xfId="0" applyNumberFormat="1" applyFont="1" applyFill="1" applyBorder="1"/>
    <xf numFmtId="0" fontId="6" fillId="2" borderId="16" xfId="0" applyFont="1" applyFill="1" applyBorder="1"/>
    <xf numFmtId="0" fontId="7" fillId="2" borderId="0" xfId="0" applyFont="1" applyFill="1" applyBorder="1" applyAlignment="1">
      <alignment horizontal="right"/>
    </xf>
    <xf numFmtId="0" fontId="12" fillId="2" borderId="16" xfId="0" applyFont="1" applyFill="1" applyBorder="1"/>
    <xf numFmtId="0" fontId="6" fillId="2" borderId="39" xfId="0" applyFont="1" applyFill="1" applyBorder="1"/>
    <xf numFmtId="0" fontId="6" fillId="2" borderId="40" xfId="0" applyFont="1" applyFill="1" applyBorder="1"/>
    <xf numFmtId="0" fontId="7" fillId="2" borderId="40" xfId="0" applyFont="1" applyFill="1" applyBorder="1" applyAlignment="1">
      <alignment horizontal="right"/>
    </xf>
    <xf numFmtId="0" fontId="6" fillId="2" borderId="17" xfId="0" applyFont="1" applyFill="1" applyBorder="1"/>
    <xf numFmtId="0" fontId="6" fillId="2" borderId="37" xfId="0" applyFont="1" applyFill="1" applyBorder="1"/>
    <xf numFmtId="0" fontId="6" fillId="2" borderId="38" xfId="0" applyFont="1" applyFill="1" applyBorder="1"/>
    <xf numFmtId="171" fontId="7" fillId="2" borderId="0" xfId="1" applyNumberFormat="1" applyFont="1" applyFill="1" applyBorder="1"/>
    <xf numFmtId="10" fontId="7" fillId="2" borderId="0" xfId="1" applyNumberFormat="1" applyFont="1" applyFill="1" applyBorder="1"/>
    <xf numFmtId="10" fontId="7" fillId="2" borderId="0" xfId="3" applyNumberFormat="1" applyFont="1" applyFill="1" applyBorder="1"/>
    <xf numFmtId="175" fontId="7" fillId="2" borderId="0" xfId="0" applyNumberFormat="1" applyFont="1" applyFill="1" applyBorder="1"/>
    <xf numFmtId="2" fontId="7" fillId="2" borderId="0" xfId="0" applyNumberFormat="1" applyFont="1" applyFill="1" applyBorder="1"/>
    <xf numFmtId="170" fontId="7" fillId="2" borderId="32" xfId="0" applyNumberFormat="1" applyFont="1" applyFill="1" applyBorder="1"/>
    <xf numFmtId="0" fontId="6" fillId="2" borderId="51" xfId="0" applyFont="1" applyFill="1" applyBorder="1"/>
    <xf numFmtId="178" fontId="7" fillId="2" borderId="46" xfId="3" applyNumberFormat="1" applyFont="1" applyFill="1" applyBorder="1"/>
    <xf numFmtId="178" fontId="7" fillId="2" borderId="46" xfId="0" applyNumberFormat="1" applyFont="1" applyFill="1" applyBorder="1"/>
    <xf numFmtId="178" fontId="7" fillId="2" borderId="47" xfId="0" applyNumberFormat="1" applyFont="1" applyFill="1" applyBorder="1"/>
    <xf numFmtId="170" fontId="7" fillId="2" borderId="35" xfId="0" applyNumberFormat="1" applyFont="1" applyFill="1" applyBorder="1"/>
    <xf numFmtId="0" fontId="6" fillId="2" borderId="44" xfId="0" applyFont="1" applyFill="1" applyBorder="1"/>
    <xf numFmtId="0" fontId="6" fillId="2" borderId="45" xfId="0" applyFont="1" applyFill="1" applyBorder="1"/>
    <xf numFmtId="14" fontId="6" fillId="2" borderId="43" xfId="0" applyNumberFormat="1" applyFont="1" applyFill="1" applyBorder="1"/>
    <xf numFmtId="14" fontId="6" fillId="2" borderId="44" xfId="0" applyNumberFormat="1" applyFont="1" applyFill="1" applyBorder="1"/>
    <xf numFmtId="14" fontId="6" fillId="2" borderId="45" xfId="0" applyNumberFormat="1" applyFont="1" applyFill="1" applyBorder="1"/>
    <xf numFmtId="0" fontId="7" fillId="2" borderId="12" xfId="0" applyFont="1" applyFill="1" applyBorder="1" applyAlignment="1">
      <alignment horizontal="center"/>
    </xf>
    <xf numFmtId="173" fontId="6" fillId="2" borderId="13" xfId="0" applyNumberFormat="1" applyFont="1" applyFill="1" applyBorder="1" applyAlignment="1">
      <alignment horizontal="center"/>
    </xf>
    <xf numFmtId="10" fontId="6" fillId="2" borderId="10" xfId="3" applyNumberFormat="1" applyFont="1" applyFill="1" applyBorder="1"/>
    <xf numFmtId="173" fontId="6" fillId="2" borderId="15" xfId="0" applyNumberFormat="1" applyFont="1" applyFill="1" applyBorder="1" applyAlignment="1">
      <alignment horizontal="center"/>
    </xf>
    <xf numFmtId="10" fontId="6" fillId="2" borderId="5" xfId="3" applyNumberFormat="1" applyFont="1" applyFill="1" applyBorder="1"/>
    <xf numFmtId="0" fontId="10" fillId="2" borderId="26" xfId="0" applyNumberFormat="1" applyFont="1" applyFill="1" applyBorder="1" applyAlignment="1">
      <alignment horizontal="center"/>
    </xf>
    <xf numFmtId="168" fontId="6" fillId="2" borderId="6" xfId="2" applyNumberFormat="1" applyFont="1" applyFill="1" applyBorder="1"/>
    <xf numFmtId="0" fontId="6" fillId="2" borderId="9" xfId="1" applyNumberFormat="1" applyFont="1" applyFill="1" applyBorder="1"/>
    <xf numFmtId="0" fontId="6" fillId="2" borderId="25" xfId="1" applyNumberFormat="1" applyFont="1" applyFill="1" applyBorder="1"/>
    <xf numFmtId="10" fontId="6" fillId="2" borderId="9" xfId="3" applyNumberFormat="1" applyFont="1" applyFill="1" applyBorder="1"/>
    <xf numFmtId="10" fontId="6" fillId="2" borderId="25" xfId="3" applyNumberFormat="1" applyFont="1" applyFill="1" applyBorder="1"/>
    <xf numFmtId="170" fontId="6" fillId="2" borderId="9" xfId="1" applyNumberFormat="1" applyFont="1" applyFill="1" applyBorder="1"/>
    <xf numFmtId="170" fontId="6" fillId="2" borderId="25" xfId="0" applyNumberFormat="1" applyFont="1" applyFill="1" applyBorder="1" applyAlignment="1">
      <alignment horizontal="right"/>
    </xf>
    <xf numFmtId="177" fontId="6" fillId="2" borderId="9" xfId="1" applyNumberFormat="1" applyFont="1" applyFill="1" applyBorder="1"/>
    <xf numFmtId="44" fontId="6" fillId="2" borderId="9" xfId="1" applyNumberFormat="1" applyFont="1" applyFill="1" applyBorder="1"/>
    <xf numFmtId="172" fontId="6" fillId="2" borderId="25" xfId="1" applyNumberFormat="1" applyFont="1" applyFill="1" applyBorder="1" applyAlignment="1">
      <alignment horizontal="right"/>
    </xf>
    <xf numFmtId="164" fontId="6" fillId="2" borderId="9" xfId="1" applyNumberFormat="1" applyFont="1" applyFill="1" applyBorder="1"/>
    <xf numFmtId="164" fontId="6" fillId="2" borderId="42" xfId="1" applyNumberFormat="1" applyFont="1" applyFill="1" applyBorder="1"/>
    <xf numFmtId="172" fontId="6" fillId="2" borderId="53" xfId="1" applyNumberFormat="1" applyFont="1" applyFill="1" applyBorder="1" applyAlignment="1">
      <alignment horizontal="right"/>
    </xf>
    <xf numFmtId="179" fontId="6" fillId="2" borderId="9" xfId="0" applyNumberFormat="1" applyFont="1" applyFill="1" applyBorder="1"/>
    <xf numFmtId="170" fontId="6" fillId="2" borderId="16" xfId="0" applyNumberFormat="1" applyFont="1" applyFill="1" applyBorder="1"/>
    <xf numFmtId="44" fontId="13" fillId="2" borderId="0" xfId="2" applyFont="1" applyFill="1" applyBorder="1" applyAlignment="1">
      <alignment horizontal="right"/>
    </xf>
    <xf numFmtId="0" fontId="13" fillId="2" borderId="0" xfId="0" applyFont="1" applyFill="1" applyBorder="1" applyAlignment="1">
      <alignment horizontal="right"/>
    </xf>
    <xf numFmtId="14" fontId="10" fillId="2" borderId="40" xfId="1" applyNumberFormat="1" applyFont="1" applyFill="1" applyBorder="1" applyAlignment="1"/>
    <xf numFmtId="168" fontId="6" fillId="2" borderId="52" xfId="2" applyNumberFormat="1" applyFont="1" applyFill="1" applyBorder="1"/>
    <xf numFmtId="179" fontId="6" fillId="2" borderId="25" xfId="2" applyNumberFormat="1" applyFont="1" applyFill="1" applyBorder="1"/>
    <xf numFmtId="168" fontId="6" fillId="2" borderId="14" xfId="0" applyNumberFormat="1" applyFont="1" applyFill="1" applyBorder="1"/>
    <xf numFmtId="8" fontId="6" fillId="2" borderId="15" xfId="0" applyNumberFormat="1" applyFont="1" applyFill="1" applyBorder="1"/>
    <xf numFmtId="1" fontId="6" fillId="2" borderId="43" xfId="0" applyNumberFormat="1" applyFont="1" applyFill="1" applyBorder="1"/>
    <xf numFmtId="0" fontId="11" fillId="2" borderId="43" xfId="0" applyFont="1" applyFill="1" applyBorder="1" applyAlignment="1">
      <alignment horizontal="center"/>
    </xf>
    <xf numFmtId="0" fontId="11" fillId="2" borderId="44" xfId="0" applyFont="1" applyFill="1" applyBorder="1" applyAlignment="1">
      <alignment horizontal="center"/>
    </xf>
    <xf numFmtId="0" fontId="11" fillId="2" borderId="45" xfId="0" applyFont="1" applyFill="1" applyBorder="1" applyAlignment="1">
      <alignment horizontal="center"/>
    </xf>
    <xf numFmtId="0" fontId="7" fillId="2" borderId="18" xfId="0" applyFont="1" applyFill="1" applyBorder="1" applyAlignment="1">
      <alignment horizontal="center"/>
    </xf>
    <xf numFmtId="0" fontId="7" fillId="2" borderId="48" xfId="0" applyFont="1" applyFill="1" applyBorder="1" applyAlignment="1">
      <alignment horizontal="center"/>
    </xf>
    <xf numFmtId="0" fontId="7" fillId="2" borderId="49" xfId="0" applyFont="1" applyFill="1" applyBorder="1" applyAlignment="1">
      <alignment horizontal="center"/>
    </xf>
    <xf numFmtId="0" fontId="7" fillId="2" borderId="31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7" fillId="2" borderId="35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168" fontId="7" fillId="2" borderId="1" xfId="0" applyNumberFormat="1" applyFont="1" applyFill="1" applyBorder="1" applyAlignment="1">
      <alignment horizontal="center"/>
    </xf>
    <xf numFmtId="168" fontId="7" fillId="2" borderId="2" xfId="0" applyNumberFormat="1" applyFont="1" applyFill="1" applyBorder="1" applyAlignment="1">
      <alignment horizontal="center"/>
    </xf>
    <xf numFmtId="168" fontId="7" fillId="2" borderId="4" xfId="0" applyNumberFormat="1" applyFont="1" applyFill="1" applyBorder="1" applyAlignment="1">
      <alignment horizontal="center"/>
    </xf>
    <xf numFmtId="168" fontId="9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51" xfId="0" applyFont="1" applyFill="1" applyBorder="1" applyAlignment="1">
      <alignment horizontal="center" vertical="center" textRotation="90"/>
    </xf>
    <xf numFmtId="0" fontId="6" fillId="2" borderId="46" xfId="0" applyFont="1" applyFill="1" applyBorder="1" applyAlignment="1">
      <alignment horizontal="center" vertical="center" textRotation="90"/>
    </xf>
    <xf numFmtId="0" fontId="6" fillId="2" borderId="47" xfId="0" applyFont="1" applyFill="1" applyBorder="1" applyAlignment="1">
      <alignment horizontal="center" vertical="center" textRotation="90"/>
    </xf>
    <xf numFmtId="0" fontId="6" fillId="2" borderId="43" xfId="0" applyFont="1" applyFill="1" applyBorder="1" applyAlignment="1">
      <alignment horizontal="center"/>
    </xf>
    <xf numFmtId="0" fontId="6" fillId="2" borderId="45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14" fontId="6" fillId="2" borderId="43" xfId="0" applyNumberFormat="1" applyFont="1" applyFill="1" applyBorder="1" applyAlignment="1">
      <alignment horizontal="center"/>
    </xf>
    <xf numFmtId="14" fontId="6" fillId="2" borderId="44" xfId="0" applyNumberFormat="1" applyFont="1" applyFill="1" applyBorder="1" applyAlignment="1">
      <alignment horizontal="center"/>
    </xf>
    <xf numFmtId="14" fontId="6" fillId="2" borderId="45" xfId="0" applyNumberFormat="1" applyFont="1" applyFill="1" applyBorder="1" applyAlignment="1">
      <alignment horizontal="center"/>
    </xf>
    <xf numFmtId="0" fontId="6" fillId="2" borderId="20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0" fontId="7" fillId="2" borderId="43" xfId="0" applyFont="1" applyFill="1" applyBorder="1" applyAlignment="1">
      <alignment horizontal="center"/>
    </xf>
    <xf numFmtId="0" fontId="7" fillId="2" borderId="44" xfId="0" applyFont="1" applyFill="1" applyBorder="1" applyAlignment="1">
      <alignment horizontal="center"/>
    </xf>
    <xf numFmtId="0" fontId="7" fillId="2" borderId="45" xfId="0" applyFont="1" applyFill="1" applyBorder="1" applyAlignment="1">
      <alignment horizontal="center"/>
    </xf>
    <xf numFmtId="0" fontId="6" fillId="2" borderId="34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 wrapText="1"/>
    </xf>
    <xf numFmtId="0" fontId="6" fillId="2" borderId="23" xfId="0" applyFont="1" applyFill="1" applyBorder="1" applyAlignment="1">
      <alignment horizontal="center" wrapText="1"/>
    </xf>
    <xf numFmtId="0" fontId="6" fillId="2" borderId="37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6" fillId="2" borderId="11" xfId="0" applyFont="1" applyFill="1" applyBorder="1" applyAlignment="1">
      <alignment horizontal="right"/>
    </xf>
    <xf numFmtId="0" fontId="6" fillId="2" borderId="36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9" xfId="0" applyFont="1" applyFill="1" applyBorder="1" applyAlignment="1">
      <alignment horizontal="right"/>
    </xf>
    <xf numFmtId="0" fontId="6" fillId="2" borderId="40" xfId="0" applyFont="1" applyFill="1" applyBorder="1" applyAlignment="1">
      <alignment horizontal="right"/>
    </xf>
    <xf numFmtId="0" fontId="6" fillId="2" borderId="41" xfId="0" applyFont="1" applyFill="1" applyBorder="1" applyAlignment="1">
      <alignment horizontal="right"/>
    </xf>
    <xf numFmtId="0" fontId="6" fillId="2" borderId="18" xfId="0" applyFont="1" applyFill="1" applyBorder="1" applyAlignment="1">
      <alignment horizontal="center"/>
    </xf>
    <xf numFmtId="0" fontId="7" fillId="2" borderId="40" xfId="0" applyFont="1" applyFill="1" applyBorder="1" applyAlignment="1">
      <alignment horizontal="center"/>
    </xf>
  </cellXfs>
  <cellStyles count="12">
    <cellStyle name="Comma" xfId="1" builtinId="3"/>
    <cellStyle name="Currency" xfId="2" builtinId="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Spot rate &amp; Yield</a:t>
            </a:r>
            <a:r>
              <a:rPr lang="en-US" baseline="0"/>
              <a:t> Curve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'Front End'!$R$6</c:f>
              <c:strCache>
                <c:ptCount val="1"/>
                <c:pt idx="0">
                  <c:v>Spot Rate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'Front End'!$Q$7:$Q$26</c:f>
              <c:numCache>
                <c:formatCode>0.0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xVal>
          <c:yVal>
            <c:numRef>
              <c:f>'Front End'!$R$7:$R$26</c:f>
              <c:numCache>
                <c:formatCode>0.00%</c:formatCode>
                <c:ptCount val="20"/>
                <c:pt idx="0">
                  <c:v>5.2499692860153276E-2</c:v>
                </c:pt>
                <c:pt idx="1">
                  <c:v>5.4999847118703746E-2</c:v>
                </c:pt>
                <c:pt idx="2">
                  <c:v>5.7597438209446981E-2</c:v>
                </c:pt>
                <c:pt idx="3">
                  <c:v>6.0191662647311121E-2</c:v>
                </c:pt>
                <c:pt idx="4">
                  <c:v>6.2822402206833425E-2</c:v>
                </c:pt>
                <c:pt idx="5">
                  <c:v>6.5494474430082772E-2</c:v>
                </c:pt>
                <c:pt idx="6">
                  <c:v>6.8213199132603902E-2</c:v>
                </c:pt>
                <c:pt idx="7">
                  <c:v>7.0984475513085524E-2</c:v>
                </c:pt>
                <c:pt idx="8">
                  <c:v>7.3814897465796933E-2</c:v>
                </c:pt>
                <c:pt idx="9">
                  <c:v>7.6711859410105832E-2</c:v>
                </c:pt>
                <c:pt idx="10">
                  <c:v>7.9683743190091721E-2</c:v>
                </c:pt>
                <c:pt idx="11">
                  <c:v>8.2740094573226175E-2</c:v>
                </c:pt>
                <c:pt idx="12">
                  <c:v>8.5891877725302018E-2</c:v>
                </c:pt>
                <c:pt idx="13">
                  <c:v>8.9151783649737831E-2</c:v>
                </c:pt>
                <c:pt idx="14">
                  <c:v>9.2534622774739353E-2</c:v>
                </c:pt>
                <c:pt idx="15">
                  <c:v>9.6057846361164781E-2</c:v>
                </c:pt>
                <c:pt idx="16">
                  <c:v>9.9742207084458134E-2</c:v>
                </c:pt>
                <c:pt idx="17">
                  <c:v>0.10361265725630822</c:v>
                </c:pt>
                <c:pt idx="18">
                  <c:v>0.10769956400203473</c:v>
                </c:pt>
                <c:pt idx="19">
                  <c:v>0.11204036908558219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8E-7A4C-8119-31B25D17EC0C}"/>
            </c:ext>
          </c:extLst>
        </c:ser>
        <c:ser>
          <c:idx val="1"/>
          <c:order val="1"/>
          <c:tx>
            <c:strRef>
              <c:f>'Front End'!$S$6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'Front End'!$Q$7:$Q$26</c:f>
              <c:numCache>
                <c:formatCode>0.0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xVal>
          <c:yVal>
            <c:numRef>
              <c:f>'Front End'!$S$7:$S$26</c:f>
              <c:numCache>
                <c:formatCode>0.00%</c:formatCode>
                <c:ptCount val="20"/>
                <c:pt idx="0">
                  <c:v>5.2499692860153276E-2</c:v>
                </c:pt>
                <c:pt idx="1">
                  <c:v>5.4999847118703746E-2</c:v>
                </c:pt>
                <c:pt idx="2">
                  <c:v>5.7500000000000002E-2</c:v>
                </c:pt>
                <c:pt idx="3">
                  <c:v>0.06</c:v>
                </c:pt>
                <c:pt idx="4">
                  <c:v>6.25E-2</c:v>
                </c:pt>
                <c:pt idx="5">
                  <c:v>6.5000000000000002E-2</c:v>
                </c:pt>
                <c:pt idx="6">
                  <c:v>6.7500000000000004E-2</c:v>
                </c:pt>
                <c:pt idx="7">
                  <c:v>7.0000000000000007E-2</c:v>
                </c:pt>
                <c:pt idx="8">
                  <c:v>7.2499999999999995E-2</c:v>
                </c:pt>
                <c:pt idx="9">
                  <c:v>7.4999999999999997E-2</c:v>
                </c:pt>
                <c:pt idx="10">
                  <c:v>7.7499999999999999E-2</c:v>
                </c:pt>
                <c:pt idx="11">
                  <c:v>0.08</c:v>
                </c:pt>
                <c:pt idx="12">
                  <c:v>8.2500000000000004E-2</c:v>
                </c:pt>
                <c:pt idx="13">
                  <c:v>8.4999999999999895E-2</c:v>
                </c:pt>
                <c:pt idx="14">
                  <c:v>8.7499999999999911E-2</c:v>
                </c:pt>
                <c:pt idx="15">
                  <c:v>8.99999999999999E-2</c:v>
                </c:pt>
                <c:pt idx="16">
                  <c:v>9.2499999999999902E-2</c:v>
                </c:pt>
                <c:pt idx="17">
                  <c:v>9.4999999999999904E-2</c:v>
                </c:pt>
                <c:pt idx="18">
                  <c:v>9.7499999999999906E-2</c:v>
                </c:pt>
                <c:pt idx="19">
                  <c:v>9.9999999999999881E-2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E-7A4C-8119-31B25D17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471872"/>
        <c:axId val="135474176"/>
      </c:scatterChart>
      <c:valAx>
        <c:axId val="13547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74176"/>
        <c:crosses val="autoZero"/>
        <c:crossBetween val="midCat"/>
      </c:valAx>
      <c:valAx>
        <c:axId val="13547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7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260960334029204"/>
          <c:y val="0.90119441871236694"/>
          <c:w val="0.36313152400835103"/>
          <c:h val="6.8636793128131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Convexity for Bonds with Different Maturities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 Year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'Bond Pricing'!$I$5:$I$29</c:f>
              <c:numCache>
                <c:formatCode>0.0%</c:formatCode>
                <c:ptCount val="2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4.9999999999999996E-2</c:v>
                </c:pt>
                <c:pt idx="9">
                  <c:v>5.4999999999999993E-2</c:v>
                </c:pt>
                <c:pt idx="10">
                  <c:v>5.9999999999999991E-2</c:v>
                </c:pt>
                <c:pt idx="11">
                  <c:v>6.4999999999999988E-2</c:v>
                </c:pt>
                <c:pt idx="12">
                  <c:v>6.9999999999999993E-2</c:v>
                </c:pt>
                <c:pt idx="13">
                  <c:v>7.4999999999999997E-2</c:v>
                </c:pt>
                <c:pt idx="14">
                  <c:v>0.08</c:v>
                </c:pt>
                <c:pt idx="15">
                  <c:v>8.5000000000000006E-2</c:v>
                </c:pt>
                <c:pt idx="16">
                  <c:v>9.0000000000000011E-2</c:v>
                </c:pt>
                <c:pt idx="17">
                  <c:v>9.5000000000000015E-2</c:v>
                </c:pt>
                <c:pt idx="18">
                  <c:v>0.10000000000000002</c:v>
                </c:pt>
                <c:pt idx="19">
                  <c:v>0.10500000000000002</c:v>
                </c:pt>
                <c:pt idx="20">
                  <c:v>0.11000000000000003</c:v>
                </c:pt>
                <c:pt idx="21">
                  <c:v>0.11500000000000003</c:v>
                </c:pt>
                <c:pt idx="22">
                  <c:v>0.12000000000000004</c:v>
                </c:pt>
                <c:pt idx="23">
                  <c:v>0.12500000000000003</c:v>
                </c:pt>
                <c:pt idx="24">
                  <c:v>0.13000000000000003</c:v>
                </c:pt>
              </c:numCache>
            </c:numRef>
          </c:xVal>
          <c:yVal>
            <c:numRef>
              <c:f>'Bond Pricing'!$J$5:$J$29</c:f>
              <c:numCache>
                <c:formatCode>0.0000</c:formatCode>
                <c:ptCount val="25"/>
                <c:pt idx="0">
                  <c:v>106.94784782554891</c:v>
                </c:pt>
                <c:pt idx="1">
                  <c:v>106.42759945569516</c:v>
                </c:pt>
                <c:pt idx="2">
                  <c:v>105.91118517792373</c:v>
                </c:pt>
                <c:pt idx="3">
                  <c:v>105.39856729157141</c:v>
                </c:pt>
                <c:pt idx="4">
                  <c:v>104.88970855881</c:v>
                </c:pt>
                <c:pt idx="5">
                  <c:v>104.38457219784</c:v>
                </c:pt>
                <c:pt idx="6">
                  <c:v>103.88312187620147</c:v>
                </c:pt>
                <c:pt idx="7">
                  <c:v>103.38532170419833</c:v>
                </c:pt>
                <c:pt idx="8">
                  <c:v>102.89113622843546</c:v>
                </c:pt>
                <c:pt idx="9">
                  <c:v>102.40053042546513</c:v>
                </c:pt>
                <c:pt idx="10">
                  <c:v>101.91346969554152</c:v>
                </c:pt>
                <c:pt idx="11">
                  <c:v>101.42991985648037</c:v>
                </c:pt>
                <c:pt idx="12">
                  <c:v>100.94984713762283</c:v>
                </c:pt>
                <c:pt idx="13">
                  <c:v>100.47321817390039</c:v>
                </c:pt>
                <c:pt idx="14">
                  <c:v>99.999999999999986</c:v>
                </c:pt>
                <c:pt idx="15">
                  <c:v>99.530160044626172</c:v>
                </c:pt>
                <c:pt idx="16">
                  <c:v>99.063666124859793</c:v>
                </c:pt>
                <c:pt idx="17">
                  <c:v>98.600486440610368</c:v>
                </c:pt>
                <c:pt idx="18">
                  <c:v>98.140589569160994</c:v>
                </c:pt>
                <c:pt idx="19">
                  <c:v>97.683944459803314</c:v>
                </c:pt>
                <c:pt idx="20">
                  <c:v>97.230520428561803</c:v>
                </c:pt>
                <c:pt idx="21">
                  <c:v>96.780287153004792</c:v>
                </c:pt>
                <c:pt idx="22">
                  <c:v>96.33321466714132</c:v>
                </c:pt>
                <c:pt idx="23">
                  <c:v>95.889273356401375</c:v>
                </c:pt>
                <c:pt idx="24">
                  <c:v>95.448433952698991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8-E045-A649-5575951300ED}"/>
            </c:ext>
          </c:extLst>
        </c:ser>
        <c:ser>
          <c:idx val="1"/>
          <c:order val="1"/>
          <c:tx>
            <c:v>4 Year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'Bond Pricing'!$I$5:$I$29</c:f>
              <c:numCache>
                <c:formatCode>0.0%</c:formatCode>
                <c:ptCount val="2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4.9999999999999996E-2</c:v>
                </c:pt>
                <c:pt idx="9">
                  <c:v>5.4999999999999993E-2</c:v>
                </c:pt>
                <c:pt idx="10">
                  <c:v>5.9999999999999991E-2</c:v>
                </c:pt>
                <c:pt idx="11">
                  <c:v>6.4999999999999988E-2</c:v>
                </c:pt>
                <c:pt idx="12">
                  <c:v>6.9999999999999993E-2</c:v>
                </c:pt>
                <c:pt idx="13">
                  <c:v>7.4999999999999997E-2</c:v>
                </c:pt>
                <c:pt idx="14">
                  <c:v>0.08</c:v>
                </c:pt>
                <c:pt idx="15">
                  <c:v>8.5000000000000006E-2</c:v>
                </c:pt>
                <c:pt idx="16">
                  <c:v>9.0000000000000011E-2</c:v>
                </c:pt>
                <c:pt idx="17">
                  <c:v>9.5000000000000015E-2</c:v>
                </c:pt>
                <c:pt idx="18">
                  <c:v>0.10000000000000002</c:v>
                </c:pt>
                <c:pt idx="19">
                  <c:v>0.10500000000000002</c:v>
                </c:pt>
                <c:pt idx="20">
                  <c:v>0.11000000000000003</c:v>
                </c:pt>
                <c:pt idx="21">
                  <c:v>0.11500000000000003</c:v>
                </c:pt>
                <c:pt idx="22">
                  <c:v>0.12000000000000004</c:v>
                </c:pt>
                <c:pt idx="23">
                  <c:v>0.12500000000000003</c:v>
                </c:pt>
                <c:pt idx="24">
                  <c:v>0.13000000000000003</c:v>
                </c:pt>
              </c:numCache>
            </c:numRef>
          </c:xVal>
          <c:yVal>
            <c:numRef>
              <c:f>'Bond Pricing'!$M$5:$M$29</c:f>
              <c:numCache>
                <c:formatCode>0.0000</c:formatCode>
                <c:ptCount val="25"/>
                <c:pt idx="0">
                  <c:v>127.38035733891734</c:v>
                </c:pt>
                <c:pt idx="1">
                  <c:v>125.14399305297209</c:v>
                </c:pt>
                <c:pt idx="2">
                  <c:v>122.95503325530632</c:v>
                </c:pt>
                <c:pt idx="3">
                  <c:v>120.81234180794378</c:v>
                </c:pt>
                <c:pt idx="4">
                  <c:v>118.7148126998357</c:v>
                </c:pt>
                <c:pt idx="5">
                  <c:v>116.66136917381969</c:v>
                </c:pt>
                <c:pt idx="6">
                  <c:v>114.65096288098886</c:v>
                </c:pt>
                <c:pt idx="7">
                  <c:v>112.68257306154005</c:v>
                </c:pt>
                <c:pt idx="8">
                  <c:v>110.75520575121455</c:v>
                </c:pt>
                <c:pt idx="9">
                  <c:v>108.86789301246705</c:v>
                </c:pt>
                <c:pt idx="10">
                  <c:v>107.01969218953548</c:v>
                </c:pt>
                <c:pt idx="11">
                  <c:v>105.20968518661107</c:v>
                </c:pt>
                <c:pt idx="12">
                  <c:v>103.43697776833935</c:v>
                </c:pt>
                <c:pt idx="13">
                  <c:v>101.70069888190703</c:v>
                </c:pt>
                <c:pt idx="14">
                  <c:v>99.999999999999972</c:v>
                </c:pt>
                <c:pt idx="15">
                  <c:v>98.334054483937564</c:v>
                </c:pt>
                <c:pt idx="16">
                  <c:v>96.702056966320725</c:v>
                </c:pt>
                <c:pt idx="17">
                  <c:v>95.103222752546799</c:v>
                </c:pt>
                <c:pt idx="18">
                  <c:v>93.536787240573744</c:v>
                </c:pt>
                <c:pt idx="19">
                  <c:v>92.002005358330635</c:v>
                </c:pt>
                <c:pt idx="20">
                  <c:v>90.498151018202165</c:v>
                </c:pt>
                <c:pt idx="21">
                  <c:v>89.024516588024966</c:v>
                </c:pt>
                <c:pt idx="22">
                  <c:v>87.580412378060856</c:v>
                </c:pt>
                <c:pt idx="23">
                  <c:v>86.165166143425253</c:v>
                </c:pt>
                <c:pt idx="24">
                  <c:v>84.77812260147202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58-E045-A649-5575951300ED}"/>
            </c:ext>
          </c:extLst>
        </c:ser>
        <c:ser>
          <c:idx val="2"/>
          <c:order val="2"/>
          <c:tx>
            <c:v>6 Year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'Bond Pricing'!$I$5:$I$29</c:f>
              <c:numCache>
                <c:formatCode>0.0%</c:formatCode>
                <c:ptCount val="2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4.9999999999999996E-2</c:v>
                </c:pt>
                <c:pt idx="9">
                  <c:v>5.4999999999999993E-2</c:v>
                </c:pt>
                <c:pt idx="10">
                  <c:v>5.9999999999999991E-2</c:v>
                </c:pt>
                <c:pt idx="11">
                  <c:v>6.4999999999999988E-2</c:v>
                </c:pt>
                <c:pt idx="12">
                  <c:v>6.9999999999999993E-2</c:v>
                </c:pt>
                <c:pt idx="13">
                  <c:v>7.4999999999999997E-2</c:v>
                </c:pt>
                <c:pt idx="14">
                  <c:v>0.08</c:v>
                </c:pt>
                <c:pt idx="15">
                  <c:v>8.5000000000000006E-2</c:v>
                </c:pt>
                <c:pt idx="16">
                  <c:v>9.0000000000000011E-2</c:v>
                </c:pt>
                <c:pt idx="17">
                  <c:v>9.5000000000000015E-2</c:v>
                </c:pt>
                <c:pt idx="18">
                  <c:v>0.10000000000000002</c:v>
                </c:pt>
                <c:pt idx="19">
                  <c:v>0.10500000000000002</c:v>
                </c:pt>
                <c:pt idx="20">
                  <c:v>0.11000000000000003</c:v>
                </c:pt>
                <c:pt idx="21">
                  <c:v>0.11500000000000003</c:v>
                </c:pt>
                <c:pt idx="22">
                  <c:v>0.12000000000000004</c:v>
                </c:pt>
                <c:pt idx="23">
                  <c:v>0.12500000000000003</c:v>
                </c:pt>
                <c:pt idx="24">
                  <c:v>0.13000000000000003</c:v>
                </c:pt>
              </c:numCache>
            </c:numRef>
          </c:xVal>
          <c:yVal>
            <c:numRef>
              <c:f>'Bond Pricing'!$O$5:$O$29</c:f>
              <c:numCache>
                <c:formatCode>0.0000</c:formatCode>
                <c:ptCount val="25"/>
                <c:pt idx="0">
                  <c:v>140.66626223385765</c:v>
                </c:pt>
                <c:pt idx="1">
                  <c:v>137.1634661876609</c:v>
                </c:pt>
                <c:pt idx="2">
                  <c:v>133.76523242045388</c:v>
                </c:pt>
                <c:pt idx="3">
                  <c:v>130.46810790660169</c:v>
                </c:pt>
                <c:pt idx="4">
                  <c:v>127.26876301743431</c:v>
                </c:pt>
                <c:pt idx="5">
                  <c:v>124.16398679895855</c:v>
                </c:pt>
                <c:pt idx="6">
                  <c:v>121.15068244183436</c:v>
                </c:pt>
                <c:pt idx="7">
                  <c:v>118.2258629353197</c:v>
                </c:pt>
                <c:pt idx="8">
                  <c:v>115.38664689728159</c:v>
                </c:pt>
                <c:pt idx="9">
                  <c:v>112.63025457271586</c:v>
                </c:pt>
                <c:pt idx="10">
                  <c:v>109.9540039935676</c:v>
                </c:pt>
                <c:pt idx="11">
                  <c:v>107.35530729296545</c:v>
                </c:pt>
                <c:pt idx="12">
                  <c:v>104.83166716729824</c:v>
                </c:pt>
                <c:pt idx="13">
                  <c:v>102.38067347985002</c:v>
                </c:pt>
                <c:pt idx="14">
                  <c:v>99.999999999999957</c:v>
                </c:pt>
                <c:pt idx="15">
                  <c:v>97.687401272251137</c:v>
                </c:pt>
                <c:pt idx="16">
                  <c:v>95.440709609619773</c:v>
                </c:pt>
                <c:pt idx="17">
                  <c:v>93.25783220614889</c:v>
                </c:pt>
                <c:pt idx="18">
                  <c:v>91.136748363551192</c:v>
                </c:pt>
                <c:pt idx="19">
                  <c:v>89.075506827198353</c:v>
                </c:pt>
                <c:pt idx="20">
                  <c:v>87.072223226896597</c:v>
                </c:pt>
                <c:pt idx="21">
                  <c:v>85.125077618077398</c:v>
                </c:pt>
                <c:pt idx="22">
                  <c:v>83.232312119233313</c:v>
                </c:pt>
                <c:pt idx="23">
                  <c:v>81.392228641605314</c:v>
                </c:pt>
                <c:pt idx="24">
                  <c:v>79.603186707308794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58-E045-A649-5575951300ED}"/>
            </c:ext>
          </c:extLst>
        </c:ser>
        <c:ser>
          <c:idx val="3"/>
          <c:order val="3"/>
          <c:tx>
            <c:v>8 Year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'Bond Pricing'!$I$5:$I$29</c:f>
              <c:numCache>
                <c:formatCode>0.0%</c:formatCode>
                <c:ptCount val="2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4.9999999999999996E-2</c:v>
                </c:pt>
                <c:pt idx="9">
                  <c:v>5.4999999999999993E-2</c:v>
                </c:pt>
                <c:pt idx="10">
                  <c:v>5.9999999999999991E-2</c:v>
                </c:pt>
                <c:pt idx="11">
                  <c:v>6.4999999999999988E-2</c:v>
                </c:pt>
                <c:pt idx="12">
                  <c:v>6.9999999999999993E-2</c:v>
                </c:pt>
                <c:pt idx="13">
                  <c:v>7.4999999999999997E-2</c:v>
                </c:pt>
                <c:pt idx="14">
                  <c:v>0.08</c:v>
                </c:pt>
                <c:pt idx="15">
                  <c:v>8.5000000000000006E-2</c:v>
                </c:pt>
                <c:pt idx="16">
                  <c:v>9.0000000000000011E-2</c:v>
                </c:pt>
                <c:pt idx="17">
                  <c:v>9.5000000000000015E-2</c:v>
                </c:pt>
                <c:pt idx="18">
                  <c:v>0.10000000000000002</c:v>
                </c:pt>
                <c:pt idx="19">
                  <c:v>0.10500000000000002</c:v>
                </c:pt>
                <c:pt idx="20">
                  <c:v>0.11000000000000003</c:v>
                </c:pt>
                <c:pt idx="21">
                  <c:v>0.11500000000000003</c:v>
                </c:pt>
                <c:pt idx="22">
                  <c:v>0.12000000000000004</c:v>
                </c:pt>
                <c:pt idx="23">
                  <c:v>0.12500000000000003</c:v>
                </c:pt>
                <c:pt idx="24">
                  <c:v>0.13000000000000003</c:v>
                </c:pt>
              </c:numCache>
            </c:numRef>
          </c:xVal>
          <c:yVal>
            <c:numRef>
              <c:f>'Bond Pricing'!$Q$5:$Q$29</c:f>
              <c:numCache>
                <c:formatCode>General</c:formatCode>
                <c:ptCount val="25"/>
                <c:pt idx="0">
                  <c:v>153.68973758068213</c:v>
                </c:pt>
                <c:pt idx="1">
                  <c:v>148.82901598291053</c:v>
                </c:pt>
                <c:pt idx="2">
                  <c:v>144.15362133810524</c:v>
                </c:pt>
                <c:pt idx="3">
                  <c:v>139.65580374529355</c:v>
                </c:pt>
                <c:pt idx="4">
                  <c:v>135.32816011333185</c:v>
                </c:pt>
                <c:pt idx="5">
                  <c:v>131.1636177262792</c:v>
                </c:pt>
                <c:pt idx="6">
                  <c:v>127.15541862857657</c:v>
                </c:pt>
                <c:pt idx="7">
                  <c:v>123.2971047871491</c:v>
                </c:pt>
                <c:pt idx="8">
                  <c:v>119.58250398991314</c:v>
                </c:pt>
                <c:pt idx="9">
                  <c:v>116.00571644236172</c:v>
                </c:pt>
                <c:pt idx="10" formatCode="0.0000">
                  <c:v>112.56110202599622</c:v>
                </c:pt>
                <c:pt idx="11">
                  <c:v>109.24326818433302</c:v>
                </c:pt>
                <c:pt idx="12">
                  <c:v>106.04705840407458</c:v>
                </c:pt>
                <c:pt idx="13">
                  <c:v>102.96754126077604</c:v>
                </c:pt>
                <c:pt idx="14">
                  <c:v>99.999999999999943</c:v>
                </c:pt>
                <c:pt idx="15">
                  <c:v>97.139922626498176</c:v>
                </c:pt>
                <c:pt idx="16">
                  <c:v>94.382992475446883</c:v>
                </c:pt>
                <c:pt idx="17">
                  <c:v>91.725079241134694</c:v>
                </c:pt>
                <c:pt idx="18">
                  <c:v>89.162230439827994</c:v>
                </c:pt>
                <c:pt idx="19">
                  <c:v>86.690663284764497</c:v>
                </c:pt>
                <c:pt idx="20">
                  <c:v>84.30675695241041</c:v>
                </c:pt>
                <c:pt idx="21">
                  <c:v>82.007045220207601</c:v>
                </c:pt>
                <c:pt idx="22">
                  <c:v>79.788209457092421</c:v>
                </c:pt>
                <c:pt idx="23">
                  <c:v>77.64707194904571</c:v>
                </c:pt>
                <c:pt idx="24">
                  <c:v>75.580589542875302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58-E045-A649-5575951300ED}"/>
            </c:ext>
          </c:extLst>
        </c:ser>
        <c:ser>
          <c:idx val="4"/>
          <c:order val="4"/>
          <c:tx>
            <c:v>10 Year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'Bond Pricing'!$I$5:$I$29</c:f>
              <c:numCache>
                <c:formatCode>0.0%</c:formatCode>
                <c:ptCount val="25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3.0000000000000002E-2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4.4999999999999998E-2</c:v>
                </c:pt>
                <c:pt idx="8">
                  <c:v>4.9999999999999996E-2</c:v>
                </c:pt>
                <c:pt idx="9">
                  <c:v>5.4999999999999993E-2</c:v>
                </c:pt>
                <c:pt idx="10">
                  <c:v>5.9999999999999991E-2</c:v>
                </c:pt>
                <c:pt idx="11">
                  <c:v>6.4999999999999988E-2</c:v>
                </c:pt>
                <c:pt idx="12">
                  <c:v>6.9999999999999993E-2</c:v>
                </c:pt>
                <c:pt idx="13">
                  <c:v>7.4999999999999997E-2</c:v>
                </c:pt>
                <c:pt idx="14">
                  <c:v>0.08</c:v>
                </c:pt>
                <c:pt idx="15">
                  <c:v>8.5000000000000006E-2</c:v>
                </c:pt>
                <c:pt idx="16">
                  <c:v>9.0000000000000011E-2</c:v>
                </c:pt>
                <c:pt idx="17">
                  <c:v>9.5000000000000015E-2</c:v>
                </c:pt>
                <c:pt idx="18">
                  <c:v>0.10000000000000002</c:v>
                </c:pt>
                <c:pt idx="19">
                  <c:v>0.10500000000000002</c:v>
                </c:pt>
                <c:pt idx="20">
                  <c:v>0.11000000000000003</c:v>
                </c:pt>
                <c:pt idx="21">
                  <c:v>0.11500000000000003</c:v>
                </c:pt>
                <c:pt idx="22">
                  <c:v>0.12000000000000004</c:v>
                </c:pt>
                <c:pt idx="23">
                  <c:v>0.12500000000000003</c:v>
                </c:pt>
                <c:pt idx="24">
                  <c:v>0.13000000000000003</c:v>
                </c:pt>
              </c:numCache>
            </c:numRef>
          </c:xVal>
          <c:yVal>
            <c:numRef>
              <c:f>'Bond Pricing'!$S$5:$S$29</c:f>
              <c:numCache>
                <c:formatCode>General</c:formatCode>
                <c:ptCount val="25"/>
                <c:pt idx="0">
                  <c:v>166.45596701334483</c:v>
                </c:pt>
                <c:pt idx="1">
                  <c:v>160.15106400452473</c:v>
                </c:pt>
                <c:pt idx="2">
                  <c:v>154.13665889881131</c:v>
                </c:pt>
                <c:pt idx="3">
                  <c:v>148.39811936912042</c:v>
                </c:pt>
                <c:pt idx="4">
                  <c:v>142.92159696270514</c:v>
                </c:pt>
                <c:pt idx="5">
                  <c:v>137.69398293568793</c:v>
                </c:pt>
                <c:pt idx="6">
                  <c:v>132.70286668919425</c:v>
                </c:pt>
                <c:pt idx="7">
                  <c:v>127.93649664745797</c:v>
                </c:pt>
                <c:pt idx="8">
                  <c:v>123.38374342847031</c:v>
                </c:pt>
                <c:pt idx="9">
                  <c:v>119.03406516721941</c:v>
                </c:pt>
                <c:pt idx="10" formatCode="0.0000">
                  <c:v>114.87747486045554</c:v>
                </c:pt>
                <c:pt idx="11">
                  <c:v>110.90450961020071</c:v>
                </c:pt>
                <c:pt idx="12">
                  <c:v>107.10620165097626</c:v>
                </c:pt>
                <c:pt idx="13">
                  <c:v>103.47405105295202</c:v>
                </c:pt>
                <c:pt idx="14">
                  <c:v>99.999999999999943</c:v>
                </c:pt>
                <c:pt idx="15">
                  <c:v>96.676408547949336</c:v>
                </c:pt>
                <c:pt idx="16">
                  <c:v>93.496031774273291</c:v>
                </c:pt>
                <c:pt idx="17">
                  <c:v>90.451998235953653</c:v>
                </c:pt>
                <c:pt idx="18">
                  <c:v>87.537789657459996</c:v>
                </c:pt>
                <c:pt idx="19">
                  <c:v>84.747221775607883</c:v>
                </c:pt>
                <c:pt idx="20">
                  <c:v>82.074426272607582</c:v>
                </c:pt>
                <c:pt idx="21">
                  <c:v>79.513833732839146</c:v>
                </c:pt>
                <c:pt idx="22">
                  <c:v>77.060157562869421</c:v>
                </c:pt>
                <c:pt idx="23">
                  <c:v>74.708378817933934</c:v>
                </c:pt>
                <c:pt idx="24">
                  <c:v>72.453731881593129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58-E045-A649-557595130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57824"/>
        <c:axId val="144960128"/>
      </c:scatterChart>
      <c:valAx>
        <c:axId val="14495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60128"/>
        <c:crosses val="autoZero"/>
        <c:crossBetween val="midCat"/>
      </c:valAx>
      <c:valAx>
        <c:axId val="14496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5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25400</xdr:colOff>
      <xdr:row>25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787400</xdr:colOff>
      <xdr:row>12</xdr:row>
      <xdr:rowOff>50800</xdr:rowOff>
    </xdr:from>
    <xdr:to>
      <xdr:col>4</xdr:col>
      <xdr:colOff>520700</xdr:colOff>
      <xdr:row>13</xdr:row>
      <xdr:rowOff>177800</xdr:rowOff>
    </xdr:to>
    <xdr:pic>
      <xdr:nvPicPr>
        <xdr:cNvPr id="1025" name="CommandButton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2146300"/>
          <a:ext cx="1257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Compute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18649</xdr:colOff>
      <xdr:row>30</xdr:row>
      <xdr:rowOff>88900</xdr:rowOff>
    </xdr:from>
    <xdr:to>
      <xdr:col>20</xdr:col>
      <xdr:colOff>241300</xdr:colOff>
      <xdr:row>60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6"/>
  <sheetViews>
    <sheetView tabSelected="1" workbookViewId="0">
      <selection activeCell="D12" sqref="D12"/>
    </sheetView>
  </sheetViews>
  <sheetFormatPr baseColWidth="10" defaultColWidth="8.83203125" defaultRowHeight="13"/>
  <cols>
    <col min="1" max="1" width="13.33203125" style="1" customWidth="1"/>
    <col min="2" max="3" width="8.83203125" style="1"/>
    <col min="4" max="4" width="9.6640625" style="1" bestFit="1" customWidth="1"/>
    <col min="5" max="5" width="8.83203125" style="1"/>
    <col min="6" max="6" width="5.6640625" style="1" customWidth="1"/>
    <col min="7" max="15" width="8.83203125" style="1"/>
    <col min="16" max="16" width="5.6640625" style="1" customWidth="1"/>
    <col min="17" max="18" width="8.83203125" style="1"/>
    <col min="19" max="19" width="14" style="1" bestFit="1" customWidth="1"/>
    <col min="20" max="16384" width="8.83203125" style="1"/>
  </cols>
  <sheetData>
    <row r="1" spans="1:19" ht="14" thickBot="1"/>
    <row r="2" spans="1:19" ht="19" thickBot="1">
      <c r="A2" s="204" t="s">
        <v>53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6"/>
    </row>
    <row r="5" spans="1:19" ht="14" thickBot="1">
      <c r="A5" s="54"/>
      <c r="B5" s="54"/>
      <c r="C5" s="54"/>
      <c r="D5" s="54"/>
      <c r="E5" s="54"/>
      <c r="F5" s="54"/>
      <c r="G5" s="54"/>
      <c r="H5" s="54"/>
    </row>
    <row r="6" spans="1:19">
      <c r="A6" s="207" t="s">
        <v>54</v>
      </c>
      <c r="B6" s="208"/>
      <c r="C6" s="208"/>
      <c r="D6" s="208"/>
      <c r="E6" s="209"/>
      <c r="F6" s="54"/>
      <c r="G6" s="54"/>
      <c r="H6" s="54"/>
      <c r="I6" s="54"/>
      <c r="J6" s="54"/>
      <c r="K6" s="54"/>
      <c r="L6" s="54"/>
      <c r="M6" s="54"/>
      <c r="N6" s="54"/>
      <c r="O6" s="54"/>
      <c r="Q6" s="175" t="s">
        <v>2</v>
      </c>
      <c r="R6" s="53" t="s">
        <v>66</v>
      </c>
      <c r="S6" s="53" t="s">
        <v>72</v>
      </c>
    </row>
    <row r="7" spans="1:19">
      <c r="A7" s="5"/>
      <c r="B7" s="54"/>
      <c r="C7" s="54"/>
      <c r="D7" s="54"/>
      <c r="E7" s="150"/>
      <c r="F7" s="54"/>
      <c r="G7" s="54"/>
      <c r="H7" s="54"/>
      <c r="I7" s="54"/>
      <c r="J7" s="54"/>
      <c r="K7" s="54"/>
      <c r="L7" s="54"/>
      <c r="M7" s="54"/>
      <c r="N7" s="54"/>
      <c r="O7" s="54"/>
      <c r="Q7" s="176">
        <v>0.5</v>
      </c>
      <c r="R7" s="177">
        <f>'Spot Rates'!H17</f>
        <v>5.2499692860153276E-2</v>
      </c>
      <c r="S7" s="177">
        <f>'Spot Rates'!G17</f>
        <v>5.2499692860153276E-2</v>
      </c>
    </row>
    <row r="8" spans="1:19">
      <c r="A8" s="5"/>
      <c r="B8" s="54"/>
      <c r="C8" s="151" t="s">
        <v>14</v>
      </c>
      <c r="D8" s="129">
        <v>0.08</v>
      </c>
      <c r="E8" s="150"/>
      <c r="F8" s="54"/>
      <c r="G8" s="54"/>
      <c r="H8" s="54"/>
      <c r="I8" s="54"/>
      <c r="J8" s="54"/>
      <c r="K8" s="54"/>
      <c r="L8" s="54"/>
      <c r="M8" s="54"/>
      <c r="N8" s="54"/>
      <c r="O8" s="54"/>
      <c r="Q8" s="176">
        <f>Q7+0.5</f>
        <v>1</v>
      </c>
      <c r="R8" s="177">
        <f>'Spot Rates'!H18</f>
        <v>5.4999847118703746E-2</v>
      </c>
      <c r="S8" s="177">
        <f>'Spot Rates'!G18</f>
        <v>5.4999847118703746E-2</v>
      </c>
    </row>
    <row r="9" spans="1:19">
      <c r="A9" s="5"/>
      <c r="B9" s="54"/>
      <c r="C9" s="151" t="s">
        <v>12</v>
      </c>
      <c r="D9" s="196">
        <v>100</v>
      </c>
      <c r="E9" s="150"/>
      <c r="F9" s="54"/>
      <c r="G9" s="54"/>
      <c r="H9" s="54"/>
      <c r="I9" s="54"/>
      <c r="J9" s="54"/>
      <c r="K9" s="54"/>
      <c r="L9" s="54"/>
      <c r="M9" s="54"/>
      <c r="N9" s="54"/>
      <c r="O9" s="54"/>
      <c r="Q9" s="176">
        <f t="shared" ref="Q9:Q26" si="0">Q8+0.5</f>
        <v>1.5</v>
      </c>
      <c r="R9" s="177">
        <f>'Spot Rates'!H19</f>
        <v>5.7597438209446981E-2</v>
      </c>
      <c r="S9" s="177">
        <f>'Spot Rates'!G19</f>
        <v>5.7500000000000002E-2</v>
      </c>
    </row>
    <row r="10" spans="1:19">
      <c r="A10" s="5"/>
      <c r="B10" s="54"/>
      <c r="C10" s="151" t="s">
        <v>10</v>
      </c>
      <c r="D10" s="197">
        <v>2</v>
      </c>
      <c r="E10" s="152"/>
      <c r="F10" s="54"/>
      <c r="G10" s="54"/>
      <c r="H10" s="54"/>
      <c r="I10" s="54"/>
      <c r="J10" s="54"/>
      <c r="K10" s="54"/>
      <c r="L10" s="54"/>
      <c r="M10" s="54"/>
      <c r="N10" s="54"/>
      <c r="O10" s="54"/>
      <c r="Q10" s="176">
        <f t="shared" si="0"/>
        <v>2</v>
      </c>
      <c r="R10" s="177">
        <f>'Spot Rates'!H20</f>
        <v>6.0191662647311121E-2</v>
      </c>
      <c r="S10" s="177">
        <f>'Spot Rates'!G20</f>
        <v>0.06</v>
      </c>
    </row>
    <row r="11" spans="1:19">
      <c r="A11" s="5"/>
      <c r="B11" s="54"/>
      <c r="C11" s="151" t="s">
        <v>15</v>
      </c>
      <c r="D11" s="125">
        <v>36892</v>
      </c>
      <c r="E11" s="150"/>
      <c r="F11" s="54"/>
      <c r="G11" s="54"/>
      <c r="H11" s="54"/>
      <c r="I11" s="54"/>
      <c r="J11" s="54"/>
      <c r="K11" s="54"/>
      <c r="L11" s="54"/>
      <c r="M11" s="54"/>
      <c r="N11" s="54"/>
      <c r="O11" s="54"/>
      <c r="Q11" s="176">
        <f t="shared" si="0"/>
        <v>2.5</v>
      </c>
      <c r="R11" s="177">
        <f>'Spot Rates'!H21</f>
        <v>6.2822402206833425E-2</v>
      </c>
      <c r="S11" s="177">
        <f>'Spot Rates'!G21</f>
        <v>6.25E-2</v>
      </c>
    </row>
    <row r="12" spans="1:19" ht="14" thickBot="1">
      <c r="A12" s="153"/>
      <c r="B12" s="154"/>
      <c r="C12" s="155" t="s">
        <v>16</v>
      </c>
      <c r="D12" s="198">
        <v>38353</v>
      </c>
      <c r="E12" s="156"/>
      <c r="F12" s="54"/>
      <c r="G12" s="54"/>
      <c r="H12" s="54"/>
      <c r="I12" s="54"/>
      <c r="J12" s="54"/>
      <c r="K12" s="54"/>
      <c r="L12" s="54"/>
      <c r="M12" s="54"/>
      <c r="N12" s="54"/>
      <c r="O12" s="54"/>
      <c r="Q12" s="176">
        <f t="shared" si="0"/>
        <v>3</v>
      </c>
      <c r="R12" s="177">
        <f>'Spot Rates'!H22</f>
        <v>6.5494474430082772E-2</v>
      </c>
      <c r="S12" s="177">
        <f>'Spot Rates'!G22</f>
        <v>6.5000000000000002E-2</v>
      </c>
    </row>
    <row r="13" spans="1:19">
      <c r="G13" s="54"/>
      <c r="H13" s="54"/>
      <c r="I13" s="54"/>
      <c r="J13" s="54"/>
      <c r="K13" s="54"/>
      <c r="L13" s="54"/>
      <c r="M13" s="54"/>
      <c r="N13" s="54"/>
      <c r="O13" s="54"/>
      <c r="Q13" s="176">
        <f t="shared" si="0"/>
        <v>3.5</v>
      </c>
      <c r="R13" s="177">
        <f>'Spot Rates'!H23</f>
        <v>6.8213199132603902E-2</v>
      </c>
      <c r="S13" s="177">
        <f>'Spot Rates'!G23</f>
        <v>6.7500000000000004E-2</v>
      </c>
    </row>
    <row r="14" spans="1:19" ht="14" thickBot="1">
      <c r="G14" s="54"/>
      <c r="H14" s="54"/>
      <c r="I14" s="54"/>
      <c r="J14" s="54"/>
      <c r="K14" s="54"/>
      <c r="L14" s="54"/>
      <c r="M14" s="54"/>
      <c r="N14" s="54"/>
      <c r="O14" s="54"/>
      <c r="Q14" s="176">
        <f t="shared" si="0"/>
        <v>4</v>
      </c>
      <c r="R14" s="177">
        <f>'Spot Rates'!H24</f>
        <v>7.0984475513085524E-2</v>
      </c>
      <c r="S14" s="177">
        <f>'Spot Rates'!G24</f>
        <v>7.0000000000000007E-2</v>
      </c>
    </row>
    <row r="15" spans="1:19">
      <c r="A15" s="210" t="s">
        <v>25</v>
      </c>
      <c r="B15" s="211"/>
      <c r="C15" s="211"/>
      <c r="D15" s="211"/>
      <c r="E15" s="212"/>
      <c r="G15" s="54"/>
      <c r="H15" s="54"/>
      <c r="I15" s="54"/>
      <c r="J15" s="54"/>
      <c r="K15" s="54"/>
      <c r="L15" s="54"/>
      <c r="M15" s="54"/>
      <c r="N15" s="54"/>
      <c r="O15" s="54"/>
      <c r="Q15" s="176">
        <f t="shared" si="0"/>
        <v>4.5</v>
      </c>
      <c r="R15" s="177">
        <f>'Spot Rates'!H25</f>
        <v>7.3814897465796933E-2</v>
      </c>
      <c r="S15" s="177">
        <f>'Spot Rates'!G25</f>
        <v>7.2499999999999995E-2</v>
      </c>
    </row>
    <row r="16" spans="1:19">
      <c r="A16" s="157"/>
      <c r="B16" s="58"/>
      <c r="C16" s="58"/>
      <c r="D16" s="58"/>
      <c r="E16" s="158"/>
      <c r="G16" s="54"/>
      <c r="H16" s="54"/>
      <c r="I16" s="116"/>
      <c r="J16" s="54"/>
      <c r="K16" s="54"/>
      <c r="L16" s="54"/>
      <c r="M16" s="54"/>
      <c r="N16" s="54"/>
      <c r="O16" s="54"/>
      <c r="Q16" s="176">
        <f t="shared" si="0"/>
        <v>5</v>
      </c>
      <c r="R16" s="177">
        <f>'Spot Rates'!H26</f>
        <v>7.6711859410105832E-2</v>
      </c>
      <c r="S16" s="177">
        <f>'Spot Rates'!G26</f>
        <v>7.4999999999999997E-2</v>
      </c>
    </row>
    <row r="17" spans="1:19">
      <c r="A17" s="5"/>
      <c r="B17" s="54"/>
      <c r="C17" s="151" t="s">
        <v>19</v>
      </c>
      <c r="D17" s="159">
        <f>'Spot Rates'!J5</f>
        <v>103.47816602310478</v>
      </c>
      <c r="E17" s="152"/>
      <c r="G17" s="54"/>
      <c r="H17" s="54"/>
      <c r="I17" s="54"/>
      <c r="J17" s="54"/>
      <c r="K17" s="54"/>
      <c r="L17" s="54"/>
      <c r="M17" s="54"/>
      <c r="N17" s="54"/>
      <c r="O17" s="54"/>
      <c r="Q17" s="176">
        <f t="shared" si="0"/>
        <v>5.5</v>
      </c>
      <c r="R17" s="177">
        <f>'Spot Rates'!H27</f>
        <v>7.9683743190091721E-2</v>
      </c>
      <c r="S17" s="177">
        <f>'Spot Rates'!G27</f>
        <v>7.7499999999999999E-2</v>
      </c>
    </row>
    <row r="18" spans="1:19">
      <c r="A18" s="5"/>
      <c r="B18" s="54"/>
      <c r="C18" s="151" t="s">
        <v>59</v>
      </c>
      <c r="D18" s="160">
        <f>(coupon*par)/'Front End'!D17</f>
        <v>7.7310995231725951E-2</v>
      </c>
      <c r="E18" s="152"/>
      <c r="G18" s="54"/>
      <c r="H18" s="54"/>
      <c r="I18" s="54"/>
      <c r="J18" s="54"/>
      <c r="K18" s="54"/>
      <c r="L18" s="54"/>
      <c r="M18" s="54"/>
      <c r="N18" s="54"/>
      <c r="O18" s="54"/>
      <c r="Q18" s="176">
        <f t="shared" si="0"/>
        <v>6</v>
      </c>
      <c r="R18" s="177">
        <f>'Spot Rates'!H28</f>
        <v>8.2740094573226175E-2</v>
      </c>
      <c r="S18" s="177">
        <f>'Spot Rates'!G28</f>
        <v>0.08</v>
      </c>
    </row>
    <row r="19" spans="1:19">
      <c r="A19" s="5"/>
      <c r="B19" s="54"/>
      <c r="C19" s="151" t="s">
        <v>55</v>
      </c>
      <c r="D19" s="161">
        <f>YIELD(Settlement_Date,Maturity_Date,coupon,D17,par,freq)</f>
        <v>6.9882639663066223E-2</v>
      </c>
      <c r="E19" s="152"/>
      <c r="G19" s="54"/>
      <c r="H19" s="54"/>
      <c r="I19" s="54"/>
      <c r="J19" s="54"/>
      <c r="K19" s="54"/>
      <c r="L19" s="54"/>
      <c r="M19" s="54"/>
      <c r="N19" s="54"/>
      <c r="O19" s="54"/>
      <c r="Q19" s="176">
        <f t="shared" si="0"/>
        <v>6.5</v>
      </c>
      <c r="R19" s="177">
        <f>'Spot Rates'!H29</f>
        <v>8.5891877725302018E-2</v>
      </c>
      <c r="S19" s="177">
        <f>'Spot Rates'!G29</f>
        <v>8.2500000000000004E-2</v>
      </c>
    </row>
    <row r="20" spans="1:19">
      <c r="A20" s="5"/>
      <c r="B20" s="54"/>
      <c r="C20" s="151" t="s">
        <v>60</v>
      </c>
      <c r="D20" s="162">
        <f>'Bond Pricing'!D9</f>
        <v>3.5109518744765023</v>
      </c>
      <c r="E20" s="152"/>
      <c r="G20" s="54"/>
      <c r="H20" s="54"/>
      <c r="I20" s="54"/>
      <c r="J20" s="54"/>
      <c r="K20" s="54"/>
      <c r="L20" s="54"/>
      <c r="M20" s="54"/>
      <c r="N20" s="54"/>
      <c r="O20" s="54"/>
      <c r="Q20" s="176">
        <f t="shared" si="0"/>
        <v>7</v>
      </c>
      <c r="R20" s="177">
        <f>'Spot Rates'!H30</f>
        <v>8.9151783649737831E-2</v>
      </c>
      <c r="S20" s="177">
        <f>'Spot Rates'!G30</f>
        <v>8.4999999999999895E-2</v>
      </c>
    </row>
    <row r="21" spans="1:19">
      <c r="A21" s="5"/>
      <c r="B21" s="54"/>
      <c r="C21" s="151" t="s">
        <v>56</v>
      </c>
      <c r="D21" s="162">
        <f>'Bond Pricing'!D10</f>
        <v>3.3924163691213063</v>
      </c>
      <c r="E21" s="152"/>
      <c r="G21" s="54"/>
      <c r="H21" s="54"/>
      <c r="I21" s="54"/>
      <c r="J21" s="54"/>
      <c r="K21" s="54"/>
      <c r="L21" s="54"/>
      <c r="M21" s="54"/>
      <c r="N21" s="54"/>
      <c r="O21" s="54"/>
      <c r="Q21" s="176">
        <f t="shared" si="0"/>
        <v>7.5</v>
      </c>
      <c r="R21" s="177">
        <f>'Spot Rates'!H31</f>
        <v>9.2534622774739353E-2</v>
      </c>
      <c r="S21" s="177">
        <f>'Spot Rates'!G31</f>
        <v>8.7499999999999911E-2</v>
      </c>
    </row>
    <row r="22" spans="1:19">
      <c r="A22" s="5"/>
      <c r="B22" s="54"/>
      <c r="C22" s="151" t="s">
        <v>57</v>
      </c>
      <c r="D22" s="162">
        <f>'Bond Pricing'!D14</f>
        <v>14.088706748509221</v>
      </c>
      <c r="E22" s="152"/>
      <c r="G22" s="54"/>
      <c r="H22" s="54"/>
      <c r="I22" s="54"/>
      <c r="J22" s="54"/>
      <c r="K22" s="54"/>
      <c r="L22" s="54"/>
      <c r="M22" s="54"/>
      <c r="N22" s="54"/>
      <c r="O22" s="54"/>
      <c r="Q22" s="176">
        <f t="shared" si="0"/>
        <v>8</v>
      </c>
      <c r="R22" s="177">
        <f>'Spot Rates'!H32</f>
        <v>9.6057846361164781E-2</v>
      </c>
      <c r="S22" s="177">
        <f>'Spot Rates'!G32</f>
        <v>8.99999999999999E-2</v>
      </c>
    </row>
    <row r="23" spans="1:19">
      <c r="A23" s="5"/>
      <c r="B23" s="54"/>
      <c r="C23" s="151" t="s">
        <v>58</v>
      </c>
      <c r="D23" s="162">
        <f>'Bond Pricing'!D11</f>
        <v>3.5096814205274995E-2</v>
      </c>
      <c r="E23" s="152"/>
      <c r="G23" s="54"/>
      <c r="H23" s="54"/>
      <c r="I23" s="54"/>
      <c r="J23" s="54"/>
      <c r="K23" s="54"/>
      <c r="L23" s="54"/>
      <c r="M23" s="54"/>
      <c r="N23" s="54"/>
      <c r="O23" s="54"/>
      <c r="Q23" s="176">
        <f t="shared" si="0"/>
        <v>8.5</v>
      </c>
      <c r="R23" s="177">
        <f>'Spot Rates'!H33</f>
        <v>9.9742207084458134E-2</v>
      </c>
      <c r="S23" s="177">
        <f>'Spot Rates'!G33</f>
        <v>9.2499999999999902E-2</v>
      </c>
    </row>
    <row r="24" spans="1:19" ht="14" thickBot="1">
      <c r="A24" s="153"/>
      <c r="B24" s="213"/>
      <c r="C24" s="213"/>
      <c r="D24" s="154"/>
      <c r="E24" s="156"/>
      <c r="G24" s="54"/>
      <c r="H24" s="54"/>
      <c r="I24" s="54"/>
      <c r="J24" s="54"/>
      <c r="K24" s="54"/>
      <c r="L24" s="54"/>
      <c r="M24" s="54"/>
      <c r="N24" s="54"/>
      <c r="O24" s="54"/>
      <c r="Q24" s="176">
        <f t="shared" si="0"/>
        <v>9</v>
      </c>
      <c r="R24" s="177">
        <f>'Spot Rates'!H34</f>
        <v>0.10361265725630822</v>
      </c>
      <c r="S24" s="177">
        <f>'Spot Rates'!G34</f>
        <v>9.4999999999999904E-2</v>
      </c>
    </row>
    <row r="25" spans="1:19">
      <c r="A25" s="54"/>
      <c r="B25" s="54"/>
      <c r="C25" s="151"/>
      <c r="D25" s="163"/>
      <c r="E25" s="54"/>
      <c r="G25" s="54"/>
      <c r="H25" s="54"/>
      <c r="I25" s="54"/>
      <c r="J25" s="54"/>
      <c r="K25" s="54"/>
      <c r="L25" s="54"/>
      <c r="M25" s="54"/>
      <c r="N25" s="54"/>
      <c r="O25" s="54"/>
      <c r="Q25" s="176">
        <f t="shared" si="0"/>
        <v>9.5</v>
      </c>
      <c r="R25" s="177">
        <f>'Spot Rates'!H35</f>
        <v>0.10769956400203473</v>
      </c>
      <c r="S25" s="177">
        <f>'Spot Rates'!G35</f>
        <v>9.7499999999999906E-2</v>
      </c>
    </row>
    <row r="26" spans="1:19">
      <c r="G26" s="54"/>
      <c r="H26" s="54"/>
      <c r="I26" s="54"/>
      <c r="J26" s="54"/>
      <c r="K26" s="54"/>
      <c r="L26" s="54"/>
      <c r="M26" s="54"/>
      <c r="N26" s="54"/>
      <c r="O26" s="54"/>
      <c r="Q26" s="178">
        <f t="shared" si="0"/>
        <v>10</v>
      </c>
      <c r="R26" s="179">
        <f>'Spot Rates'!H36</f>
        <v>0.11204036908558219</v>
      </c>
      <c r="S26" s="179">
        <f>'Spot Rates'!G36</f>
        <v>9.9999999999999881E-2</v>
      </c>
    </row>
    <row r="27" spans="1:19">
      <c r="G27" s="54"/>
      <c r="H27" s="54"/>
      <c r="I27" s="54"/>
      <c r="J27" s="54"/>
      <c r="K27" s="54"/>
      <c r="L27" s="54"/>
      <c r="M27" s="54"/>
      <c r="N27" s="54"/>
      <c r="O27" s="54"/>
    </row>
    <row r="28" spans="1:19">
      <c r="H28" s="54"/>
    </row>
    <row r="29" spans="1:19">
      <c r="H29" s="54"/>
    </row>
    <row r="30" spans="1:19">
      <c r="H30" s="54"/>
    </row>
    <row r="31" spans="1:19">
      <c r="H31" s="54"/>
    </row>
    <row r="32" spans="1:19">
      <c r="H32" s="54"/>
    </row>
    <row r="33" spans="8:8">
      <c r="H33" s="54"/>
    </row>
    <row r="34" spans="8:8">
      <c r="H34" s="54"/>
    </row>
    <row r="35" spans="8:8">
      <c r="H35" s="54"/>
    </row>
    <row r="36" spans="8:8">
      <c r="H36" s="54"/>
    </row>
  </sheetData>
  <mergeCells count="4">
    <mergeCell ref="A2:S2"/>
    <mergeCell ref="A6:E6"/>
    <mergeCell ref="A15:E15"/>
    <mergeCell ref="B24:C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P57"/>
  <sheetViews>
    <sheetView zoomScaleNormal="100" workbookViewId="0">
      <selection activeCell="AD11" sqref="AD11"/>
    </sheetView>
  </sheetViews>
  <sheetFormatPr baseColWidth="10" defaultColWidth="8.83203125" defaultRowHeight="13"/>
  <cols>
    <col min="1" max="1" width="8.33203125" style="1" customWidth="1"/>
    <col min="2" max="2" width="5.83203125" style="1" bestFit="1" customWidth="1"/>
    <col min="3" max="4" width="15.5" style="1" customWidth="1"/>
    <col min="5" max="5" width="15.83203125" style="1" customWidth="1"/>
    <col min="6" max="6" width="16.5" style="1" bestFit="1" customWidth="1"/>
    <col min="7" max="7" width="11.6640625" style="1" customWidth="1"/>
    <col min="8" max="8" width="14" style="1" bestFit="1" customWidth="1"/>
    <col min="9" max="9" width="12" style="1" bestFit="1" customWidth="1"/>
    <col min="10" max="10" width="10.5" style="1" bestFit="1" customWidth="1"/>
    <col min="11" max="11" width="8.5" style="1" bestFit="1" customWidth="1"/>
    <col min="12" max="12" width="7.6640625" style="1" bestFit="1" customWidth="1"/>
    <col min="13" max="27" width="8.5" style="1" bestFit="1" customWidth="1"/>
    <col min="28" max="28" width="9.33203125" style="1" bestFit="1" customWidth="1"/>
    <col min="29" max="16384" width="8.83203125" style="1"/>
  </cols>
  <sheetData>
    <row r="1" spans="1:68">
      <c r="A1" s="214" t="s">
        <v>22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6"/>
    </row>
    <row r="2" spans="1:68">
      <c r="A2" s="54"/>
      <c r="B2" s="54"/>
      <c r="C2" s="54"/>
      <c r="D2" s="54"/>
      <c r="E2" s="54"/>
      <c r="F2" s="54"/>
      <c r="G2" s="54"/>
    </row>
    <row r="3" spans="1:68">
      <c r="A3" s="12"/>
      <c r="B3" s="12"/>
      <c r="C3" s="12"/>
      <c r="D3" s="12"/>
      <c r="E3" s="12"/>
      <c r="F3" s="13"/>
      <c r="G3" s="13"/>
      <c r="H3" s="55" t="s">
        <v>17</v>
      </c>
      <c r="I3" s="56"/>
      <c r="J3" s="57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9"/>
    </row>
    <row r="4" spans="1:68">
      <c r="A4" s="54"/>
      <c r="B4" s="54"/>
      <c r="C4" s="60"/>
      <c r="D4" s="46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8"/>
    </row>
    <row r="5" spans="1:68">
      <c r="A5" s="54"/>
      <c r="B5" s="54"/>
      <c r="C5" s="60"/>
      <c r="D5" s="54"/>
      <c r="E5" s="54"/>
      <c r="F5" s="60"/>
      <c r="G5" s="61"/>
      <c r="H5" s="225" t="s">
        <v>19</v>
      </c>
      <c r="I5" s="226"/>
      <c r="J5" s="149">
        <f>SUM(I11:AB11)</f>
        <v>103.47816602310478</v>
      </c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8"/>
    </row>
    <row r="6" spans="1:68">
      <c r="A6" s="54"/>
      <c r="B6" s="54"/>
      <c r="C6" s="60"/>
      <c r="D6" s="54"/>
      <c r="E6" s="54"/>
      <c r="F6" s="60"/>
      <c r="G6" s="62"/>
      <c r="H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8"/>
    </row>
    <row r="7" spans="1:68">
      <c r="A7" s="54"/>
      <c r="B7" s="54"/>
      <c r="C7" s="60"/>
      <c r="D7" s="217" t="s">
        <v>61</v>
      </c>
      <c r="E7" s="218"/>
      <c r="F7" s="60"/>
      <c r="G7" s="63"/>
      <c r="H7" s="227" t="s">
        <v>18</v>
      </c>
      <c r="I7" s="228"/>
      <c r="J7" s="64">
        <f>COUPNUM(Settlement_Date,Maturity_Date,freq)</f>
        <v>8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8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</row>
    <row r="8" spans="1:68">
      <c r="A8" s="54"/>
      <c r="B8" s="54"/>
      <c r="C8" s="60"/>
      <c r="D8" s="219"/>
      <c r="E8" s="220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8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</row>
    <row r="9" spans="1:68">
      <c r="A9" s="54"/>
      <c r="B9" s="54"/>
      <c r="C9" s="60"/>
      <c r="D9" s="54"/>
      <c r="E9" s="54"/>
      <c r="F9" s="54"/>
      <c r="G9" s="54"/>
      <c r="H9" s="65" t="s">
        <v>0</v>
      </c>
      <c r="I9" s="66">
        <v>1</v>
      </c>
      <c r="J9" s="67">
        <v>2</v>
      </c>
      <c r="K9" s="67">
        <v>3</v>
      </c>
      <c r="L9" s="67">
        <v>4</v>
      </c>
      <c r="M9" s="67">
        <v>5</v>
      </c>
      <c r="N9" s="67">
        <v>6</v>
      </c>
      <c r="O9" s="67">
        <v>7</v>
      </c>
      <c r="P9" s="67">
        <v>8</v>
      </c>
      <c r="Q9" s="67">
        <v>9</v>
      </c>
      <c r="R9" s="67">
        <v>10</v>
      </c>
      <c r="S9" s="67">
        <v>11</v>
      </c>
      <c r="T9" s="67">
        <v>12</v>
      </c>
      <c r="U9" s="67">
        <v>13</v>
      </c>
      <c r="V9" s="67">
        <v>14</v>
      </c>
      <c r="W9" s="67">
        <v>15</v>
      </c>
      <c r="X9" s="67">
        <v>16</v>
      </c>
      <c r="Y9" s="67">
        <v>17</v>
      </c>
      <c r="Z9" s="67">
        <v>18</v>
      </c>
      <c r="AA9" s="67">
        <v>19</v>
      </c>
      <c r="AB9" s="68">
        <v>20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</row>
    <row r="10" spans="1:68">
      <c r="A10" s="54"/>
      <c r="B10" s="54"/>
      <c r="C10" s="60"/>
      <c r="D10" s="54"/>
      <c r="E10" s="54"/>
      <c r="F10" s="54"/>
      <c r="G10" s="116"/>
      <c r="H10" s="70" t="s">
        <v>20</v>
      </c>
      <c r="I10" s="71">
        <f t="shared" ref="I10:AB10" si="0">IF(I9&lt;COUPNUM(Settlement_Date,Maturity_Date,freq),(coupon*par/freq),IF(I9=COUPNUM(Settlement_Date,Maturity_Date,freq),(coupon*par/freq)+par,""))</f>
        <v>4</v>
      </c>
      <c r="J10" s="71">
        <f t="shared" si="0"/>
        <v>4</v>
      </c>
      <c r="K10" s="71">
        <f t="shared" si="0"/>
        <v>4</v>
      </c>
      <c r="L10" s="71">
        <f t="shared" si="0"/>
        <v>4</v>
      </c>
      <c r="M10" s="71">
        <f t="shared" si="0"/>
        <v>4</v>
      </c>
      <c r="N10" s="194">
        <f t="shared" si="0"/>
        <v>4</v>
      </c>
      <c r="O10" s="71">
        <f t="shared" si="0"/>
        <v>4</v>
      </c>
      <c r="P10" s="71">
        <f t="shared" si="0"/>
        <v>104</v>
      </c>
      <c r="Q10" s="71" t="str">
        <f t="shared" si="0"/>
        <v/>
      </c>
      <c r="R10" s="71" t="str">
        <f t="shared" si="0"/>
        <v/>
      </c>
      <c r="S10" s="71" t="str">
        <f t="shared" si="0"/>
        <v/>
      </c>
      <c r="T10" s="71" t="str">
        <f t="shared" si="0"/>
        <v/>
      </c>
      <c r="U10" s="71" t="str">
        <f t="shared" si="0"/>
        <v/>
      </c>
      <c r="V10" s="71" t="str">
        <f t="shared" si="0"/>
        <v/>
      </c>
      <c r="W10" s="71" t="str">
        <f t="shared" si="0"/>
        <v/>
      </c>
      <c r="X10" s="71" t="str">
        <f t="shared" si="0"/>
        <v/>
      </c>
      <c r="Y10" s="71" t="str">
        <f t="shared" si="0"/>
        <v/>
      </c>
      <c r="Z10" s="71" t="str">
        <f t="shared" si="0"/>
        <v/>
      </c>
      <c r="AA10" s="71" t="str">
        <f t="shared" si="0"/>
        <v/>
      </c>
      <c r="AB10" s="201" t="str">
        <f t="shared" si="0"/>
        <v/>
      </c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</row>
    <row r="11" spans="1:68">
      <c r="A11" s="54"/>
      <c r="B11" s="54"/>
      <c r="C11" s="54"/>
      <c r="D11" s="54"/>
      <c r="E11" s="54"/>
      <c r="F11" s="54"/>
      <c r="G11" s="54"/>
      <c r="H11" s="73" t="s">
        <v>21</v>
      </c>
      <c r="I11" s="74">
        <f>IF(I10&lt;&gt;"",I10/(1+I16/2)^I9,"")</f>
        <v>3.8976863323433775</v>
      </c>
      <c r="J11" s="74">
        <f t="shared" ref="J11:AB11" si="1">IF(J10&lt;&gt;"",J10/(1+J16/2)^J9,"")</f>
        <v>3.7887538862861554</v>
      </c>
      <c r="K11" s="74">
        <f t="shared" si="1"/>
        <v>3.673404441219676</v>
      </c>
      <c r="L11" s="74">
        <f t="shared" si="1"/>
        <v>3.5526258601860921</v>
      </c>
      <c r="M11" s="74">
        <f t="shared" si="1"/>
        <v>3.4268948093926541</v>
      </c>
      <c r="N11" s="74">
        <f t="shared" si="1"/>
        <v>3.2968238272752903</v>
      </c>
      <c r="O11" s="74">
        <f t="shared" si="1"/>
        <v>3.1630264455829904</v>
      </c>
      <c r="P11" s="74">
        <f t="shared" si="1"/>
        <v>78.678950420818538</v>
      </c>
      <c r="Q11" s="74" t="str">
        <f t="shared" si="1"/>
        <v/>
      </c>
      <c r="R11" s="74" t="str">
        <f t="shared" si="1"/>
        <v/>
      </c>
      <c r="S11" s="74" t="str">
        <f t="shared" si="1"/>
        <v/>
      </c>
      <c r="T11" s="74" t="str">
        <f t="shared" si="1"/>
        <v/>
      </c>
      <c r="U11" s="74" t="str">
        <f t="shared" si="1"/>
        <v/>
      </c>
      <c r="V11" s="74" t="str">
        <f t="shared" si="1"/>
        <v/>
      </c>
      <c r="W11" s="74" t="str">
        <f t="shared" si="1"/>
        <v/>
      </c>
      <c r="X11" s="74" t="str">
        <f t="shared" si="1"/>
        <v/>
      </c>
      <c r="Y11" s="74" t="str">
        <f t="shared" si="1"/>
        <v/>
      </c>
      <c r="Z11" s="74" t="str">
        <f t="shared" si="1"/>
        <v/>
      </c>
      <c r="AA11" s="74" t="str">
        <f t="shared" si="1"/>
        <v/>
      </c>
      <c r="AB11" s="202" t="str">
        <f t="shared" si="1"/>
        <v/>
      </c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</row>
    <row r="12" spans="1:68">
      <c r="A12" s="54"/>
      <c r="B12" s="54"/>
      <c r="C12" s="54"/>
      <c r="D12" s="54"/>
      <c r="E12" s="54"/>
      <c r="F12" s="54"/>
      <c r="G12" s="54"/>
      <c r="H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</row>
    <row r="13" spans="1:68">
      <c r="A13" s="54"/>
      <c r="B13" s="54"/>
      <c r="C13" s="54"/>
      <c r="D13" s="54"/>
      <c r="E13" s="54"/>
      <c r="F13" s="54"/>
      <c r="G13" s="54"/>
      <c r="H13" s="54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68">
      <c r="A14" s="214" t="s">
        <v>65</v>
      </c>
      <c r="B14" s="215"/>
      <c r="C14" s="215"/>
      <c r="D14" s="215"/>
      <c r="E14" s="215"/>
      <c r="F14" s="216"/>
      <c r="H14" s="76"/>
      <c r="I14" s="56" t="s">
        <v>63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7"/>
    </row>
    <row r="15" spans="1:68">
      <c r="A15" s="77"/>
      <c r="B15" s="78"/>
      <c r="C15" s="78"/>
      <c r="D15" s="78"/>
      <c r="E15" s="78" t="s">
        <v>6</v>
      </c>
      <c r="F15" s="78" t="s">
        <v>4</v>
      </c>
      <c r="G15" s="79" t="s">
        <v>1</v>
      </c>
      <c r="H15" s="80" t="s">
        <v>11</v>
      </c>
      <c r="I15" s="81">
        <v>1</v>
      </c>
      <c r="J15" s="81">
        <v>2</v>
      </c>
      <c r="K15" s="81">
        <v>3</v>
      </c>
      <c r="L15" s="81">
        <v>4</v>
      </c>
      <c r="M15" s="81">
        <v>5</v>
      </c>
      <c r="N15" s="81">
        <v>6</v>
      </c>
      <c r="O15" s="81">
        <v>7</v>
      </c>
      <c r="P15" s="81">
        <v>8</v>
      </c>
      <c r="Q15" s="81">
        <v>9</v>
      </c>
      <c r="R15" s="81">
        <v>10</v>
      </c>
      <c r="S15" s="81">
        <v>11</v>
      </c>
      <c r="T15" s="81">
        <v>12</v>
      </c>
      <c r="U15" s="81">
        <v>13</v>
      </c>
      <c r="V15" s="81">
        <v>14</v>
      </c>
      <c r="W15" s="81">
        <v>15</v>
      </c>
      <c r="X15" s="81">
        <v>16</v>
      </c>
      <c r="Y15" s="81">
        <v>17</v>
      </c>
      <c r="Z15" s="81">
        <v>18</v>
      </c>
      <c r="AA15" s="81">
        <v>19</v>
      </c>
      <c r="AB15" s="82">
        <v>20</v>
      </c>
    </row>
    <row r="16" spans="1:68">
      <c r="A16" s="83" t="s">
        <v>0</v>
      </c>
      <c r="B16" s="84" t="s">
        <v>9</v>
      </c>
      <c r="C16" s="84" t="s">
        <v>8</v>
      </c>
      <c r="D16" s="84" t="s">
        <v>2</v>
      </c>
      <c r="E16" s="84" t="s">
        <v>3</v>
      </c>
      <c r="F16" s="84" t="s">
        <v>5</v>
      </c>
      <c r="G16" s="85" t="s">
        <v>2</v>
      </c>
      <c r="H16" s="80" t="s">
        <v>13</v>
      </c>
      <c r="I16" s="86">
        <f>TBILLYIELD(C17,D17,F17)</f>
        <v>5.2499692860153276E-2</v>
      </c>
      <c r="J16" s="86">
        <f>TBILLYIELD(C18,D18,F18)</f>
        <v>5.4999847118703746E-2</v>
      </c>
      <c r="K16" s="86">
        <v>5.7597438209446981E-2</v>
      </c>
      <c r="L16" s="86">
        <v>6.0191662647311121E-2</v>
      </c>
      <c r="M16" s="86">
        <v>6.2822402206833425E-2</v>
      </c>
      <c r="N16" s="86">
        <v>6.5494474430082772E-2</v>
      </c>
      <c r="O16" s="86">
        <v>6.8213199132603902E-2</v>
      </c>
      <c r="P16" s="86">
        <v>7.0984475513085524E-2</v>
      </c>
      <c r="Q16" s="86">
        <v>7.3814897465796933E-2</v>
      </c>
      <c r="R16" s="86">
        <v>7.6711859410105832E-2</v>
      </c>
      <c r="S16" s="86">
        <v>7.9683743190091721E-2</v>
      </c>
      <c r="T16" s="86">
        <v>8.2740094573226175E-2</v>
      </c>
      <c r="U16" s="86">
        <v>8.5891877725302018E-2</v>
      </c>
      <c r="V16" s="86">
        <v>8.9151783649737831E-2</v>
      </c>
      <c r="W16" s="86">
        <v>9.2534622774739353E-2</v>
      </c>
      <c r="X16" s="86">
        <v>9.6057846361164781E-2</v>
      </c>
      <c r="Y16" s="86">
        <v>9.9742207084458134E-2</v>
      </c>
      <c r="Z16" s="86">
        <v>0.10361265725630822</v>
      </c>
      <c r="AA16" s="86">
        <v>0.10769956400203473</v>
      </c>
      <c r="AB16" s="87">
        <v>0.11204036908558219</v>
      </c>
    </row>
    <row r="17" spans="1:28">
      <c r="A17" s="117">
        <v>1</v>
      </c>
      <c r="B17" s="118">
        <v>0.5</v>
      </c>
      <c r="C17" s="119">
        <v>38717</v>
      </c>
      <c r="D17" s="120">
        <v>38898</v>
      </c>
      <c r="E17" s="121" t="s">
        <v>23</v>
      </c>
      <c r="F17" s="122">
        <v>97.42831351957085</v>
      </c>
      <c r="G17" s="88">
        <f>TBILLYIELD(C17,D17,F17)</f>
        <v>5.2499692860153276E-2</v>
      </c>
      <c r="H17" s="88">
        <f>I$16</f>
        <v>5.2499692860153276E-2</v>
      </c>
      <c r="I17" s="89">
        <v>100</v>
      </c>
      <c r="J17" s="90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2"/>
    </row>
    <row r="18" spans="1:28">
      <c r="A18" s="123">
        <v>2</v>
      </c>
      <c r="B18" s="124">
        <v>1</v>
      </c>
      <c r="C18" s="125">
        <v>38717</v>
      </c>
      <c r="D18" s="126">
        <v>39082</v>
      </c>
      <c r="E18" s="127" t="s">
        <v>23</v>
      </c>
      <c r="F18" s="128">
        <v>94.71816164028651</v>
      </c>
      <c r="G18" s="93">
        <f>TBILLYIELD(C18,D18,F18)</f>
        <v>5.4999847118703746E-2</v>
      </c>
      <c r="H18" s="93">
        <f>J16</f>
        <v>5.4999847118703746E-2</v>
      </c>
      <c r="I18" s="94" t="s">
        <v>24</v>
      </c>
      <c r="J18" s="95">
        <v>100</v>
      </c>
      <c r="K18" s="72"/>
      <c r="L18" s="72"/>
      <c r="M18" s="224" t="s">
        <v>62</v>
      </c>
      <c r="N18" s="224"/>
      <c r="O18" s="224"/>
      <c r="P18" s="224"/>
      <c r="Q18" s="224"/>
      <c r="R18" s="224"/>
      <c r="S18" s="224"/>
      <c r="T18" s="72"/>
      <c r="U18" s="72"/>
      <c r="V18" s="72"/>
      <c r="W18" s="72"/>
      <c r="X18" s="72"/>
      <c r="Y18" s="72"/>
      <c r="Z18" s="72"/>
      <c r="AA18" s="72"/>
      <c r="AB18" s="96"/>
    </row>
    <row r="19" spans="1:28">
      <c r="A19" s="123">
        <v>3</v>
      </c>
      <c r="B19" s="124">
        <v>1.5</v>
      </c>
      <c r="C19" s="125">
        <v>38717</v>
      </c>
      <c r="D19" s="126">
        <v>39263</v>
      </c>
      <c r="E19" s="129">
        <v>5.7500000000000002E-2</v>
      </c>
      <c r="F19" s="130">
        <v>100</v>
      </c>
      <c r="G19" s="93">
        <f>YIELD(C19,D19,E19,F19,'Front End'!$D$9,'Front End'!$D$10)</f>
        <v>5.7500000000000002E-2</v>
      </c>
      <c r="H19" s="93">
        <f>K16</f>
        <v>5.7597438209446981E-2</v>
      </c>
      <c r="I19" s="71">
        <f t="shared" ref="I19:I36" si="2">IF(I$15&lt;$A19,($G19/2)*$F19,($G19/2+1)*$F19)</f>
        <v>2.875</v>
      </c>
      <c r="J19" s="72">
        <v>2.875</v>
      </c>
      <c r="K19" s="137">
        <f t="shared" ref="J19:Y35" si="3">IF(K$15&lt;$A19,($G19/2)*$F19,($G19/2+1)*$F19)</f>
        <v>102.875</v>
      </c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96"/>
    </row>
    <row r="20" spans="1:28">
      <c r="A20" s="123">
        <v>4</v>
      </c>
      <c r="B20" s="124">
        <v>2</v>
      </c>
      <c r="C20" s="125">
        <v>38717</v>
      </c>
      <c r="D20" s="126">
        <v>39447</v>
      </c>
      <c r="E20" s="129">
        <v>0.06</v>
      </c>
      <c r="F20" s="130">
        <v>100</v>
      </c>
      <c r="G20" s="93">
        <f>YIELD(C20,D20,E20,F20,'Front End'!$D$9,'Front End'!$D$10)</f>
        <v>0.06</v>
      </c>
      <c r="H20" s="93">
        <f>L16</f>
        <v>6.0191662647311121E-2</v>
      </c>
      <c r="I20" s="71">
        <f t="shared" si="2"/>
        <v>3</v>
      </c>
      <c r="J20" s="72">
        <f t="shared" si="3"/>
        <v>3</v>
      </c>
      <c r="K20" s="72">
        <f t="shared" si="3"/>
        <v>3</v>
      </c>
      <c r="L20" s="138">
        <f t="shared" si="3"/>
        <v>103</v>
      </c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96"/>
    </row>
    <row r="21" spans="1:28">
      <c r="A21" s="123">
        <v>5</v>
      </c>
      <c r="B21" s="124">
        <v>2.5</v>
      </c>
      <c r="C21" s="125">
        <v>38717</v>
      </c>
      <c r="D21" s="126">
        <v>39629</v>
      </c>
      <c r="E21" s="129">
        <v>6.25E-2</v>
      </c>
      <c r="F21" s="130">
        <v>100</v>
      </c>
      <c r="G21" s="93">
        <f>YIELD(C21,D21,E21,F21,'Front End'!$D$9,'Front End'!$D$10)</f>
        <v>6.25E-2</v>
      </c>
      <c r="H21" s="93">
        <f>M16</f>
        <v>6.2822402206833425E-2</v>
      </c>
      <c r="I21" s="71">
        <f t="shared" si="2"/>
        <v>3.125</v>
      </c>
      <c r="J21" s="72">
        <f t="shared" si="3"/>
        <v>3.125</v>
      </c>
      <c r="K21" s="72">
        <f t="shared" si="3"/>
        <v>3.125</v>
      </c>
      <c r="L21" s="72">
        <f t="shared" si="3"/>
        <v>3.125</v>
      </c>
      <c r="M21" s="137">
        <f t="shared" si="3"/>
        <v>103.125</v>
      </c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96"/>
    </row>
    <row r="22" spans="1:28">
      <c r="A22" s="123">
        <v>6</v>
      </c>
      <c r="B22" s="124">
        <v>3</v>
      </c>
      <c r="C22" s="125">
        <v>38717</v>
      </c>
      <c r="D22" s="126">
        <v>39813</v>
      </c>
      <c r="E22" s="129">
        <v>6.5000000000000002E-2</v>
      </c>
      <c r="F22" s="130">
        <v>100</v>
      </c>
      <c r="G22" s="93">
        <f>YIELD(C22,D22,E22,F22,'Front End'!$D$9,'Front End'!$D$10)</f>
        <v>6.5000000000000002E-2</v>
      </c>
      <c r="H22" s="93">
        <f>N16</f>
        <v>6.5494474430082772E-2</v>
      </c>
      <c r="I22" s="71">
        <f t="shared" si="2"/>
        <v>3.25</v>
      </c>
      <c r="J22" s="72">
        <f t="shared" si="3"/>
        <v>3.25</v>
      </c>
      <c r="K22" s="72">
        <f t="shared" si="3"/>
        <v>3.25</v>
      </c>
      <c r="L22" s="72">
        <f t="shared" si="3"/>
        <v>3.25</v>
      </c>
      <c r="M22" s="72">
        <f t="shared" si="3"/>
        <v>3.25</v>
      </c>
      <c r="N22" s="137">
        <f>IF(N$15&lt;$A22,($G22/2)*$F22,($G22/2+1)*$F22)</f>
        <v>103.25</v>
      </c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96"/>
    </row>
    <row r="23" spans="1:28">
      <c r="A23" s="123">
        <v>7</v>
      </c>
      <c r="B23" s="124">
        <v>3.5</v>
      </c>
      <c r="C23" s="125">
        <v>38717</v>
      </c>
      <c r="D23" s="126">
        <v>39994</v>
      </c>
      <c r="E23" s="129">
        <v>6.7500000000000004E-2</v>
      </c>
      <c r="F23" s="130">
        <v>100</v>
      </c>
      <c r="G23" s="93">
        <f>YIELD(C23,D23,E23,F23,'Front End'!$D$9,'Front End'!$D$10)</f>
        <v>6.7500000000000004E-2</v>
      </c>
      <c r="H23" s="93">
        <f>O16</f>
        <v>6.8213199132603902E-2</v>
      </c>
      <c r="I23" s="71">
        <f t="shared" si="2"/>
        <v>3.375</v>
      </c>
      <c r="J23" s="72">
        <f t="shared" si="3"/>
        <v>3.375</v>
      </c>
      <c r="K23" s="72">
        <f t="shared" si="3"/>
        <v>3.375</v>
      </c>
      <c r="L23" s="72">
        <f t="shared" si="3"/>
        <v>3.375</v>
      </c>
      <c r="M23" s="72">
        <f t="shared" si="3"/>
        <v>3.375</v>
      </c>
      <c r="N23" s="72">
        <f t="shared" si="3"/>
        <v>3.375</v>
      </c>
      <c r="O23" s="137">
        <f t="shared" si="3"/>
        <v>103.375</v>
      </c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96"/>
    </row>
    <row r="24" spans="1:28">
      <c r="A24" s="123">
        <v>8</v>
      </c>
      <c r="B24" s="124">
        <v>4</v>
      </c>
      <c r="C24" s="125">
        <v>38717</v>
      </c>
      <c r="D24" s="126">
        <v>40178</v>
      </c>
      <c r="E24" s="129">
        <v>7.0000000000000007E-2</v>
      </c>
      <c r="F24" s="130">
        <v>100</v>
      </c>
      <c r="G24" s="93">
        <f>YIELD(C24,D24,E24,F24,'Front End'!$D$9,'Front End'!$D$10)</f>
        <v>7.0000000000000007E-2</v>
      </c>
      <c r="H24" s="93">
        <f>P16</f>
        <v>7.0984475513085524E-2</v>
      </c>
      <c r="I24" s="71">
        <f t="shared" si="2"/>
        <v>3.5000000000000004</v>
      </c>
      <c r="J24" s="72">
        <f t="shared" si="3"/>
        <v>3.5000000000000004</v>
      </c>
      <c r="K24" s="72">
        <f t="shared" si="3"/>
        <v>3.5000000000000004</v>
      </c>
      <c r="L24" s="72">
        <f t="shared" si="3"/>
        <v>3.5000000000000004</v>
      </c>
      <c r="M24" s="72">
        <f t="shared" si="3"/>
        <v>3.5000000000000004</v>
      </c>
      <c r="N24" s="72">
        <f t="shared" si="3"/>
        <v>3.5000000000000004</v>
      </c>
      <c r="O24" s="72">
        <f t="shared" si="3"/>
        <v>3.5000000000000004</v>
      </c>
      <c r="P24" s="137">
        <f t="shared" si="3"/>
        <v>103.49999999999999</v>
      </c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96"/>
    </row>
    <row r="25" spans="1:28">
      <c r="A25" s="123">
        <v>9</v>
      </c>
      <c r="B25" s="124">
        <v>4.5</v>
      </c>
      <c r="C25" s="125">
        <v>38717</v>
      </c>
      <c r="D25" s="126">
        <v>40359</v>
      </c>
      <c r="E25" s="129">
        <v>7.2499999999999995E-2</v>
      </c>
      <c r="F25" s="130">
        <v>100</v>
      </c>
      <c r="G25" s="93">
        <f>YIELD(C25,D25,E25,F25,'Front End'!$D$9,'Front End'!$D$10)</f>
        <v>7.2499999999999995E-2</v>
      </c>
      <c r="H25" s="93">
        <f>Q16</f>
        <v>7.3814897465796933E-2</v>
      </c>
      <c r="I25" s="71">
        <f t="shared" si="2"/>
        <v>3.6249999999999996</v>
      </c>
      <c r="J25" s="72">
        <f t="shared" si="3"/>
        <v>3.6249999999999996</v>
      </c>
      <c r="K25" s="72">
        <f t="shared" si="3"/>
        <v>3.6249999999999996</v>
      </c>
      <c r="L25" s="72">
        <f t="shared" si="3"/>
        <v>3.6249999999999996</v>
      </c>
      <c r="M25" s="72">
        <f t="shared" si="3"/>
        <v>3.6249999999999996</v>
      </c>
      <c r="N25" s="72">
        <f t="shared" si="3"/>
        <v>3.6249999999999996</v>
      </c>
      <c r="O25" s="72">
        <f t="shared" si="3"/>
        <v>3.6249999999999996</v>
      </c>
      <c r="P25" s="72">
        <f t="shared" si="3"/>
        <v>3.6249999999999996</v>
      </c>
      <c r="Q25" s="137">
        <f t="shared" si="3"/>
        <v>103.62499999999999</v>
      </c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96"/>
    </row>
    <row r="26" spans="1:28">
      <c r="A26" s="123">
        <v>10</v>
      </c>
      <c r="B26" s="124">
        <v>5</v>
      </c>
      <c r="C26" s="125">
        <v>38717</v>
      </c>
      <c r="D26" s="126">
        <v>40543</v>
      </c>
      <c r="E26" s="129">
        <v>7.4999999999999997E-2</v>
      </c>
      <c r="F26" s="130">
        <v>100</v>
      </c>
      <c r="G26" s="93">
        <f>YIELD(C26,D26,E26,F26,'Front End'!$D$9,'Front End'!$D$10)</f>
        <v>7.4999999999999997E-2</v>
      </c>
      <c r="H26" s="93">
        <f>R16</f>
        <v>7.6711859410105832E-2</v>
      </c>
      <c r="I26" s="71">
        <f t="shared" si="2"/>
        <v>3.75</v>
      </c>
      <c r="J26" s="72">
        <f t="shared" si="3"/>
        <v>3.75</v>
      </c>
      <c r="K26" s="72">
        <f t="shared" si="3"/>
        <v>3.75</v>
      </c>
      <c r="L26" s="72">
        <f t="shared" si="3"/>
        <v>3.75</v>
      </c>
      <c r="M26" s="72">
        <f t="shared" si="3"/>
        <v>3.75</v>
      </c>
      <c r="N26" s="72">
        <f t="shared" si="3"/>
        <v>3.75</v>
      </c>
      <c r="O26" s="72">
        <f t="shared" si="3"/>
        <v>3.75</v>
      </c>
      <c r="P26" s="72">
        <f t="shared" si="3"/>
        <v>3.75</v>
      </c>
      <c r="Q26" s="72">
        <f t="shared" si="3"/>
        <v>3.75</v>
      </c>
      <c r="R26" s="137">
        <f t="shared" si="3"/>
        <v>103.75000000000001</v>
      </c>
      <c r="S26" s="72"/>
      <c r="T26" s="72"/>
      <c r="U26" s="72"/>
      <c r="V26" s="72"/>
      <c r="W26" s="72"/>
      <c r="X26" s="72"/>
      <c r="Y26" s="72"/>
      <c r="Z26" s="72"/>
      <c r="AA26" s="72"/>
      <c r="AB26" s="96"/>
    </row>
    <row r="27" spans="1:28">
      <c r="A27" s="123">
        <v>11</v>
      </c>
      <c r="B27" s="124">
        <v>5.5</v>
      </c>
      <c r="C27" s="125">
        <v>38717</v>
      </c>
      <c r="D27" s="126">
        <v>40724</v>
      </c>
      <c r="E27" s="129">
        <v>7.7499999999999999E-2</v>
      </c>
      <c r="F27" s="130">
        <v>100</v>
      </c>
      <c r="G27" s="93">
        <f>YIELD(C27,D27,E27,F27,'Front End'!$D$9,'Front End'!$D$10)</f>
        <v>7.7499999999999999E-2</v>
      </c>
      <c r="H27" s="93">
        <f>S16</f>
        <v>7.9683743190091721E-2</v>
      </c>
      <c r="I27" s="71">
        <f t="shared" si="2"/>
        <v>3.875</v>
      </c>
      <c r="J27" s="72">
        <f t="shared" si="3"/>
        <v>3.875</v>
      </c>
      <c r="K27" s="72">
        <f t="shared" si="3"/>
        <v>3.875</v>
      </c>
      <c r="L27" s="72">
        <f t="shared" si="3"/>
        <v>3.875</v>
      </c>
      <c r="M27" s="72">
        <f t="shared" si="3"/>
        <v>3.875</v>
      </c>
      <c r="N27" s="72">
        <f t="shared" si="3"/>
        <v>3.875</v>
      </c>
      <c r="O27" s="72">
        <f t="shared" si="3"/>
        <v>3.875</v>
      </c>
      <c r="P27" s="72">
        <f t="shared" si="3"/>
        <v>3.875</v>
      </c>
      <c r="Q27" s="72">
        <f t="shared" si="3"/>
        <v>3.875</v>
      </c>
      <c r="R27" s="72">
        <f t="shared" si="3"/>
        <v>3.875</v>
      </c>
      <c r="S27" s="137">
        <f t="shared" si="3"/>
        <v>103.875</v>
      </c>
      <c r="T27" s="72"/>
      <c r="U27" s="72"/>
      <c r="V27" s="72"/>
      <c r="W27" s="72"/>
      <c r="X27" s="72"/>
      <c r="Y27" s="72"/>
      <c r="Z27" s="72"/>
      <c r="AA27" s="72"/>
      <c r="AB27" s="96"/>
    </row>
    <row r="28" spans="1:28">
      <c r="A28" s="123">
        <v>12</v>
      </c>
      <c r="B28" s="124">
        <v>6</v>
      </c>
      <c r="C28" s="125">
        <v>38717</v>
      </c>
      <c r="D28" s="126">
        <v>40908</v>
      </c>
      <c r="E28" s="129">
        <v>0.08</v>
      </c>
      <c r="F28" s="130">
        <v>100</v>
      </c>
      <c r="G28" s="93">
        <f>YIELD(C28,D28,E28,F28,'Front End'!$D$9,'Front End'!$D$10)</f>
        <v>0.08</v>
      </c>
      <c r="H28" s="93">
        <f>T16</f>
        <v>8.2740094573226175E-2</v>
      </c>
      <c r="I28" s="71">
        <f t="shared" si="2"/>
        <v>4</v>
      </c>
      <c r="J28" s="72">
        <f t="shared" si="3"/>
        <v>4</v>
      </c>
      <c r="K28" s="72">
        <f t="shared" si="3"/>
        <v>4</v>
      </c>
      <c r="L28" s="72">
        <f t="shared" si="3"/>
        <v>4</v>
      </c>
      <c r="M28" s="72">
        <f t="shared" si="3"/>
        <v>4</v>
      </c>
      <c r="N28" s="72">
        <f t="shared" si="3"/>
        <v>4</v>
      </c>
      <c r="O28" s="72">
        <f t="shared" si="3"/>
        <v>4</v>
      </c>
      <c r="P28" s="72">
        <f t="shared" si="3"/>
        <v>4</v>
      </c>
      <c r="Q28" s="72">
        <f t="shared" si="3"/>
        <v>4</v>
      </c>
      <c r="R28" s="72">
        <f t="shared" si="3"/>
        <v>4</v>
      </c>
      <c r="S28" s="72">
        <f t="shared" si="3"/>
        <v>4</v>
      </c>
      <c r="T28" s="137">
        <f t="shared" si="3"/>
        <v>104</v>
      </c>
      <c r="U28" s="72"/>
      <c r="V28" s="72"/>
      <c r="W28" s="72"/>
      <c r="X28" s="72"/>
      <c r="Y28" s="72"/>
      <c r="Z28" s="72"/>
      <c r="AA28" s="72"/>
      <c r="AB28" s="96"/>
    </row>
    <row r="29" spans="1:28">
      <c r="A29" s="123">
        <v>13</v>
      </c>
      <c r="B29" s="124">
        <v>6.5</v>
      </c>
      <c r="C29" s="125">
        <v>38717</v>
      </c>
      <c r="D29" s="126">
        <v>41090</v>
      </c>
      <c r="E29" s="129">
        <v>8.2500000000000004E-2</v>
      </c>
      <c r="F29" s="130">
        <v>100</v>
      </c>
      <c r="G29" s="93">
        <f>YIELD(C29,D29,E29,F29,'Front End'!$D$9,'Front End'!$D$10)</f>
        <v>8.2500000000000004E-2</v>
      </c>
      <c r="H29" s="93">
        <f>U16</f>
        <v>8.5891877725302018E-2</v>
      </c>
      <c r="I29" s="71">
        <f t="shared" si="2"/>
        <v>4.125</v>
      </c>
      <c r="J29" s="72">
        <f t="shared" si="3"/>
        <v>4.125</v>
      </c>
      <c r="K29" s="72">
        <f t="shared" si="3"/>
        <v>4.125</v>
      </c>
      <c r="L29" s="72">
        <f t="shared" si="3"/>
        <v>4.125</v>
      </c>
      <c r="M29" s="72">
        <f t="shared" si="3"/>
        <v>4.125</v>
      </c>
      <c r="N29" s="72">
        <f t="shared" si="3"/>
        <v>4.125</v>
      </c>
      <c r="O29" s="72">
        <f t="shared" si="3"/>
        <v>4.125</v>
      </c>
      <c r="P29" s="72">
        <f t="shared" si="3"/>
        <v>4.125</v>
      </c>
      <c r="Q29" s="72">
        <f t="shared" si="3"/>
        <v>4.125</v>
      </c>
      <c r="R29" s="72">
        <f t="shared" si="3"/>
        <v>4.125</v>
      </c>
      <c r="S29" s="72">
        <f t="shared" si="3"/>
        <v>4.125</v>
      </c>
      <c r="T29" s="72">
        <f t="shared" si="3"/>
        <v>4.125</v>
      </c>
      <c r="U29" s="137">
        <f t="shared" si="3"/>
        <v>104.125</v>
      </c>
      <c r="V29" s="72"/>
      <c r="W29" s="72"/>
      <c r="X29" s="72"/>
      <c r="Y29" s="72"/>
      <c r="Z29" s="72"/>
      <c r="AA29" s="72"/>
      <c r="AB29" s="96"/>
    </row>
    <row r="30" spans="1:28">
      <c r="A30" s="123">
        <v>14</v>
      </c>
      <c r="B30" s="124">
        <v>7</v>
      </c>
      <c r="C30" s="125">
        <v>38717</v>
      </c>
      <c r="D30" s="126">
        <v>41274</v>
      </c>
      <c r="E30" s="129">
        <v>8.4999999999999895E-2</v>
      </c>
      <c r="F30" s="130">
        <v>100</v>
      </c>
      <c r="G30" s="93">
        <f>YIELD(C30,D30,E30,F30,'Front End'!$D$9,'Front End'!$D$10)</f>
        <v>8.4999999999999895E-2</v>
      </c>
      <c r="H30" s="93">
        <f>V16</f>
        <v>8.9151783649737831E-2</v>
      </c>
      <c r="I30" s="71">
        <f t="shared" si="2"/>
        <v>4.2499999999999947</v>
      </c>
      <c r="J30" s="72">
        <f t="shared" si="3"/>
        <v>4.2499999999999947</v>
      </c>
      <c r="K30" s="72">
        <f t="shared" si="3"/>
        <v>4.2499999999999947</v>
      </c>
      <c r="L30" s="72">
        <f t="shared" si="3"/>
        <v>4.2499999999999947</v>
      </c>
      <c r="M30" s="72">
        <f t="shared" si="3"/>
        <v>4.2499999999999947</v>
      </c>
      <c r="N30" s="72">
        <f t="shared" si="3"/>
        <v>4.2499999999999947</v>
      </c>
      <c r="O30" s="72">
        <f t="shared" si="3"/>
        <v>4.2499999999999947</v>
      </c>
      <c r="P30" s="72">
        <f t="shared" si="3"/>
        <v>4.2499999999999947</v>
      </c>
      <c r="Q30" s="72">
        <f t="shared" si="3"/>
        <v>4.2499999999999947</v>
      </c>
      <c r="R30" s="72">
        <f t="shared" si="3"/>
        <v>4.2499999999999947</v>
      </c>
      <c r="S30" s="72">
        <f t="shared" si="3"/>
        <v>4.2499999999999947</v>
      </c>
      <c r="T30" s="72">
        <f t="shared" si="3"/>
        <v>4.2499999999999947</v>
      </c>
      <c r="U30" s="72">
        <f t="shared" si="3"/>
        <v>4.2499999999999947</v>
      </c>
      <c r="V30" s="137">
        <f t="shared" si="3"/>
        <v>104.25</v>
      </c>
      <c r="W30" s="72"/>
      <c r="X30" s="72"/>
      <c r="Y30" s="72"/>
      <c r="Z30" s="72"/>
      <c r="AA30" s="72"/>
      <c r="AB30" s="96"/>
    </row>
    <row r="31" spans="1:28">
      <c r="A31" s="123">
        <v>15</v>
      </c>
      <c r="B31" s="124">
        <v>7.5</v>
      </c>
      <c r="C31" s="125">
        <v>38717</v>
      </c>
      <c r="D31" s="126">
        <v>41455</v>
      </c>
      <c r="E31" s="129">
        <v>8.7499999999999897E-2</v>
      </c>
      <c r="F31" s="130">
        <v>100</v>
      </c>
      <c r="G31" s="93">
        <f>YIELD(C31,D31,E31,F31,'Front End'!$D$9,'Front End'!$D$10)</f>
        <v>8.7499999999999911E-2</v>
      </c>
      <c r="H31" s="93">
        <f>W16</f>
        <v>9.2534622774739353E-2</v>
      </c>
      <c r="I31" s="71">
        <f t="shared" si="2"/>
        <v>4.3749999999999956</v>
      </c>
      <c r="J31" s="72">
        <f t="shared" si="3"/>
        <v>4.3749999999999956</v>
      </c>
      <c r="K31" s="72">
        <f t="shared" si="3"/>
        <v>4.3749999999999956</v>
      </c>
      <c r="L31" s="72">
        <f t="shared" si="3"/>
        <v>4.3749999999999956</v>
      </c>
      <c r="M31" s="72">
        <f t="shared" si="3"/>
        <v>4.3749999999999956</v>
      </c>
      <c r="N31" s="72">
        <f t="shared" si="3"/>
        <v>4.3749999999999956</v>
      </c>
      <c r="O31" s="72">
        <f t="shared" si="3"/>
        <v>4.3749999999999956</v>
      </c>
      <c r="P31" s="72">
        <f t="shared" si="3"/>
        <v>4.3749999999999956</v>
      </c>
      <c r="Q31" s="72">
        <f t="shared" si="3"/>
        <v>4.3749999999999956</v>
      </c>
      <c r="R31" s="72">
        <f t="shared" si="3"/>
        <v>4.3749999999999956</v>
      </c>
      <c r="S31" s="72">
        <f t="shared" si="3"/>
        <v>4.3749999999999956</v>
      </c>
      <c r="T31" s="72">
        <f t="shared" si="3"/>
        <v>4.3749999999999956</v>
      </c>
      <c r="U31" s="72">
        <f t="shared" si="3"/>
        <v>4.3749999999999956</v>
      </c>
      <c r="V31" s="72">
        <f t="shared" si="3"/>
        <v>4.3749999999999956</v>
      </c>
      <c r="W31" s="137">
        <f t="shared" si="3"/>
        <v>104.375</v>
      </c>
      <c r="X31" s="72"/>
      <c r="Y31" s="72"/>
      <c r="Z31" s="72"/>
      <c r="AA31" s="72"/>
      <c r="AB31" s="96"/>
    </row>
    <row r="32" spans="1:28">
      <c r="A32" s="123">
        <v>16</v>
      </c>
      <c r="B32" s="124">
        <v>8</v>
      </c>
      <c r="C32" s="125">
        <v>38717</v>
      </c>
      <c r="D32" s="126">
        <v>41639</v>
      </c>
      <c r="E32" s="129">
        <v>8.99999999999999E-2</v>
      </c>
      <c r="F32" s="130">
        <v>100</v>
      </c>
      <c r="G32" s="93">
        <f>YIELD(C32,D32,E32,F32,'Front End'!$D$9,'Front End'!$D$10)</f>
        <v>8.99999999999999E-2</v>
      </c>
      <c r="H32" s="93">
        <f>X16</f>
        <v>9.6057846361164781E-2</v>
      </c>
      <c r="I32" s="71">
        <f t="shared" si="2"/>
        <v>4.4999999999999947</v>
      </c>
      <c r="J32" s="72">
        <f t="shared" si="3"/>
        <v>4.4999999999999947</v>
      </c>
      <c r="K32" s="72">
        <f t="shared" si="3"/>
        <v>4.4999999999999947</v>
      </c>
      <c r="L32" s="72">
        <f t="shared" si="3"/>
        <v>4.4999999999999947</v>
      </c>
      <c r="M32" s="72">
        <f t="shared" si="3"/>
        <v>4.4999999999999947</v>
      </c>
      <c r="N32" s="72">
        <f t="shared" si="3"/>
        <v>4.4999999999999947</v>
      </c>
      <c r="O32" s="72">
        <f t="shared" si="3"/>
        <v>4.4999999999999947</v>
      </c>
      <c r="P32" s="72">
        <f t="shared" si="3"/>
        <v>4.4999999999999947</v>
      </c>
      <c r="Q32" s="72">
        <f t="shared" si="3"/>
        <v>4.4999999999999947</v>
      </c>
      <c r="R32" s="72">
        <f t="shared" si="3"/>
        <v>4.4999999999999947</v>
      </c>
      <c r="S32" s="72">
        <f t="shared" si="3"/>
        <v>4.4999999999999947</v>
      </c>
      <c r="T32" s="72">
        <f t="shared" si="3"/>
        <v>4.4999999999999947</v>
      </c>
      <c r="U32" s="72">
        <f t="shared" si="3"/>
        <v>4.4999999999999947</v>
      </c>
      <c r="V32" s="72">
        <f t="shared" si="3"/>
        <v>4.4999999999999947</v>
      </c>
      <c r="W32" s="72">
        <f t="shared" si="3"/>
        <v>4.4999999999999947</v>
      </c>
      <c r="X32" s="137">
        <f t="shared" si="3"/>
        <v>104.5</v>
      </c>
      <c r="Y32" s="72"/>
      <c r="Z32" s="72"/>
      <c r="AA32" s="72"/>
      <c r="AB32" s="96"/>
    </row>
    <row r="33" spans="1:28">
      <c r="A33" s="123">
        <v>17</v>
      </c>
      <c r="B33" s="124">
        <v>8.5</v>
      </c>
      <c r="C33" s="125">
        <v>38717</v>
      </c>
      <c r="D33" s="126">
        <v>41820</v>
      </c>
      <c r="E33" s="129">
        <v>9.2499999999999902E-2</v>
      </c>
      <c r="F33" s="130">
        <v>100</v>
      </c>
      <c r="G33" s="93">
        <f>YIELD(C33,D33,E33,F33,'Front End'!$D$9,'Front End'!$D$10)</f>
        <v>9.2499999999999902E-2</v>
      </c>
      <c r="H33" s="93">
        <f>Y16</f>
        <v>9.9742207084458134E-2</v>
      </c>
      <c r="I33" s="71">
        <f t="shared" si="2"/>
        <v>4.6249999999999947</v>
      </c>
      <c r="J33" s="72">
        <f t="shared" si="3"/>
        <v>4.6249999999999947</v>
      </c>
      <c r="K33" s="72">
        <f t="shared" si="3"/>
        <v>4.6249999999999947</v>
      </c>
      <c r="L33" s="72">
        <f t="shared" si="3"/>
        <v>4.6249999999999947</v>
      </c>
      <c r="M33" s="72">
        <f t="shared" si="3"/>
        <v>4.6249999999999947</v>
      </c>
      <c r="N33" s="72">
        <f t="shared" si="3"/>
        <v>4.6249999999999947</v>
      </c>
      <c r="O33" s="72">
        <f t="shared" si="3"/>
        <v>4.6249999999999947</v>
      </c>
      <c r="P33" s="72">
        <f t="shared" si="3"/>
        <v>4.6249999999999947</v>
      </c>
      <c r="Q33" s="72">
        <f t="shared" si="3"/>
        <v>4.6249999999999947</v>
      </c>
      <c r="R33" s="72">
        <f t="shared" si="3"/>
        <v>4.6249999999999947</v>
      </c>
      <c r="S33" s="72">
        <f t="shared" si="3"/>
        <v>4.6249999999999947</v>
      </c>
      <c r="T33" s="72">
        <f t="shared" si="3"/>
        <v>4.6249999999999947</v>
      </c>
      <c r="U33" s="72">
        <f t="shared" si="3"/>
        <v>4.6249999999999947</v>
      </c>
      <c r="V33" s="72">
        <f t="shared" si="3"/>
        <v>4.6249999999999947</v>
      </c>
      <c r="W33" s="72">
        <f t="shared" si="3"/>
        <v>4.6249999999999947</v>
      </c>
      <c r="X33" s="72">
        <f t="shared" si="3"/>
        <v>4.6249999999999947</v>
      </c>
      <c r="Y33" s="137">
        <f t="shared" si="3"/>
        <v>104.62499999999999</v>
      </c>
      <c r="Z33" s="72"/>
      <c r="AA33" s="72"/>
      <c r="AB33" s="96"/>
    </row>
    <row r="34" spans="1:28">
      <c r="A34" s="123">
        <v>18</v>
      </c>
      <c r="B34" s="124">
        <v>9</v>
      </c>
      <c r="C34" s="125">
        <v>38717</v>
      </c>
      <c r="D34" s="126">
        <v>42004</v>
      </c>
      <c r="E34" s="129">
        <v>9.4999999999999904E-2</v>
      </c>
      <c r="F34" s="130">
        <v>100</v>
      </c>
      <c r="G34" s="93">
        <f>YIELD(C34,D34,E34,F34,'Front End'!$D$9,'Front End'!$D$10)</f>
        <v>9.4999999999999904E-2</v>
      </c>
      <c r="H34" s="93">
        <f>Z16</f>
        <v>0.10361265725630822</v>
      </c>
      <c r="I34" s="71">
        <f t="shared" si="2"/>
        <v>4.7499999999999956</v>
      </c>
      <c r="J34" s="72">
        <f t="shared" si="3"/>
        <v>4.7499999999999956</v>
      </c>
      <c r="K34" s="72">
        <f t="shared" si="3"/>
        <v>4.7499999999999956</v>
      </c>
      <c r="L34" s="72">
        <f t="shared" si="3"/>
        <v>4.7499999999999956</v>
      </c>
      <c r="M34" s="72">
        <f t="shared" si="3"/>
        <v>4.7499999999999956</v>
      </c>
      <c r="N34" s="72">
        <f t="shared" si="3"/>
        <v>4.7499999999999956</v>
      </c>
      <c r="O34" s="72">
        <f t="shared" si="3"/>
        <v>4.7499999999999956</v>
      </c>
      <c r="P34" s="72">
        <f t="shared" si="3"/>
        <v>4.7499999999999956</v>
      </c>
      <c r="Q34" s="72">
        <f t="shared" si="3"/>
        <v>4.7499999999999956</v>
      </c>
      <c r="R34" s="72">
        <f t="shared" si="3"/>
        <v>4.7499999999999956</v>
      </c>
      <c r="S34" s="72">
        <f t="shared" si="3"/>
        <v>4.7499999999999956</v>
      </c>
      <c r="T34" s="72">
        <f t="shared" si="3"/>
        <v>4.7499999999999956</v>
      </c>
      <c r="U34" s="72">
        <f t="shared" si="3"/>
        <v>4.7499999999999956</v>
      </c>
      <c r="V34" s="72">
        <f t="shared" si="3"/>
        <v>4.7499999999999956</v>
      </c>
      <c r="W34" s="72">
        <f t="shared" si="3"/>
        <v>4.7499999999999956</v>
      </c>
      <c r="X34" s="72">
        <f t="shared" si="3"/>
        <v>4.7499999999999956</v>
      </c>
      <c r="Y34" s="72">
        <f t="shared" si="3"/>
        <v>4.7499999999999956</v>
      </c>
      <c r="Z34" s="137">
        <f t="shared" ref="Z34:AB36" si="4">IF(Z$15&lt;$A34,($G34/2)*$F34,($G34/2+1)*$F34)</f>
        <v>104.74999999999999</v>
      </c>
      <c r="AA34" s="72"/>
      <c r="AB34" s="96"/>
    </row>
    <row r="35" spans="1:28">
      <c r="A35" s="123">
        <v>19</v>
      </c>
      <c r="B35" s="124">
        <v>9.5</v>
      </c>
      <c r="C35" s="125">
        <v>38717</v>
      </c>
      <c r="D35" s="126">
        <v>42185</v>
      </c>
      <c r="E35" s="129">
        <v>9.7499999999999906E-2</v>
      </c>
      <c r="F35" s="130">
        <v>100</v>
      </c>
      <c r="G35" s="93">
        <f>YIELD(C35,D35,E35,F35,'Front End'!$D$9,'Front End'!$D$10)</f>
        <v>9.7499999999999906E-2</v>
      </c>
      <c r="H35" s="93">
        <f>AA16</f>
        <v>0.10769956400203473</v>
      </c>
      <c r="I35" s="71">
        <f t="shared" si="2"/>
        <v>4.8749999999999956</v>
      </c>
      <c r="J35" s="72">
        <f t="shared" si="3"/>
        <v>4.8749999999999956</v>
      </c>
      <c r="K35" s="72">
        <f t="shared" si="3"/>
        <v>4.8749999999999956</v>
      </c>
      <c r="L35" s="72">
        <f t="shared" si="3"/>
        <v>4.8749999999999956</v>
      </c>
      <c r="M35" s="72">
        <f t="shared" si="3"/>
        <v>4.8749999999999956</v>
      </c>
      <c r="N35" s="72">
        <f t="shared" si="3"/>
        <v>4.8749999999999956</v>
      </c>
      <c r="O35" s="72">
        <f t="shared" si="3"/>
        <v>4.8749999999999956</v>
      </c>
      <c r="P35" s="72">
        <f t="shared" si="3"/>
        <v>4.8749999999999956</v>
      </c>
      <c r="Q35" s="72">
        <f t="shared" si="3"/>
        <v>4.8749999999999956</v>
      </c>
      <c r="R35" s="72">
        <f t="shared" si="3"/>
        <v>4.8749999999999956</v>
      </c>
      <c r="S35" s="72">
        <f t="shared" si="3"/>
        <v>4.8749999999999956</v>
      </c>
      <c r="T35" s="72">
        <f t="shared" si="3"/>
        <v>4.8749999999999956</v>
      </c>
      <c r="U35" s="72">
        <f t="shared" si="3"/>
        <v>4.8749999999999956</v>
      </c>
      <c r="V35" s="72">
        <f t="shared" si="3"/>
        <v>4.8749999999999956</v>
      </c>
      <c r="W35" s="72">
        <f t="shared" si="3"/>
        <v>4.8749999999999956</v>
      </c>
      <c r="X35" s="72">
        <f t="shared" si="3"/>
        <v>4.8749999999999956</v>
      </c>
      <c r="Y35" s="72">
        <f t="shared" si="3"/>
        <v>4.8749999999999956</v>
      </c>
      <c r="Z35" s="72">
        <f t="shared" si="4"/>
        <v>4.8749999999999956</v>
      </c>
      <c r="AA35" s="137">
        <f t="shared" si="4"/>
        <v>104.87499999999999</v>
      </c>
      <c r="AB35" s="96"/>
    </row>
    <row r="36" spans="1:28">
      <c r="A36" s="131">
        <v>20</v>
      </c>
      <c r="B36" s="132">
        <v>10</v>
      </c>
      <c r="C36" s="133">
        <v>38717</v>
      </c>
      <c r="D36" s="134">
        <v>42369</v>
      </c>
      <c r="E36" s="135">
        <v>9.9999999999999895E-2</v>
      </c>
      <c r="F36" s="136">
        <v>100</v>
      </c>
      <c r="G36" s="97">
        <f>YIELD(C36,D36,E36,F36,'Front End'!$D$9,'Front End'!$D$10)</f>
        <v>9.9999999999999881E-2</v>
      </c>
      <c r="H36" s="97">
        <f>AB16</f>
        <v>0.11204036908558219</v>
      </c>
      <c r="I36" s="98">
        <f t="shared" si="2"/>
        <v>4.9999999999999938</v>
      </c>
      <c r="J36" s="99">
        <f t="shared" ref="J36:Y36" si="5">IF(J$15&lt;$A36,($G36/2)*$F36,($G36/2+1)*$F36)</f>
        <v>4.9999999999999938</v>
      </c>
      <c r="K36" s="99">
        <f t="shared" si="5"/>
        <v>4.9999999999999938</v>
      </c>
      <c r="L36" s="99">
        <f t="shared" si="5"/>
        <v>4.9999999999999938</v>
      </c>
      <c r="M36" s="99">
        <f t="shared" si="5"/>
        <v>4.9999999999999938</v>
      </c>
      <c r="N36" s="99">
        <f t="shared" si="5"/>
        <v>4.9999999999999938</v>
      </c>
      <c r="O36" s="99">
        <f t="shared" si="5"/>
        <v>4.9999999999999938</v>
      </c>
      <c r="P36" s="99">
        <f t="shared" si="5"/>
        <v>4.9999999999999938</v>
      </c>
      <c r="Q36" s="99">
        <f t="shared" si="5"/>
        <v>4.9999999999999938</v>
      </c>
      <c r="R36" s="99">
        <f t="shared" si="5"/>
        <v>4.9999999999999938</v>
      </c>
      <c r="S36" s="99">
        <f t="shared" si="5"/>
        <v>4.9999999999999938</v>
      </c>
      <c r="T36" s="99">
        <f t="shared" si="5"/>
        <v>4.9999999999999938</v>
      </c>
      <c r="U36" s="99">
        <f t="shared" si="5"/>
        <v>4.9999999999999938</v>
      </c>
      <c r="V36" s="99">
        <f t="shared" si="5"/>
        <v>4.9999999999999938</v>
      </c>
      <c r="W36" s="99">
        <f t="shared" si="5"/>
        <v>4.9999999999999938</v>
      </c>
      <c r="X36" s="99">
        <f t="shared" si="5"/>
        <v>4.9999999999999938</v>
      </c>
      <c r="Y36" s="99">
        <f t="shared" si="5"/>
        <v>4.9999999999999938</v>
      </c>
      <c r="Z36" s="99">
        <f t="shared" si="4"/>
        <v>4.9999999999999938</v>
      </c>
      <c r="AA36" s="99">
        <f t="shared" si="4"/>
        <v>4.9999999999999938</v>
      </c>
      <c r="AB36" s="100">
        <f t="shared" si="4"/>
        <v>105</v>
      </c>
    </row>
    <row r="37" spans="1:28">
      <c r="A37" s="101"/>
      <c r="B37" s="102"/>
      <c r="C37" s="103"/>
      <c r="D37" s="104"/>
      <c r="E37" s="105"/>
      <c r="F37" s="106"/>
      <c r="G37" s="107"/>
      <c r="H37" s="108"/>
      <c r="I37" s="221" t="s">
        <v>64</v>
      </c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3"/>
    </row>
    <row r="38" spans="1:28">
      <c r="F38" s="139">
        <f t="shared" ref="F38:F57" si="6">A17</f>
        <v>1</v>
      </c>
      <c r="G38" s="142" t="s">
        <v>7</v>
      </c>
      <c r="H38" s="143" t="s">
        <v>7</v>
      </c>
      <c r="I38" s="144" t="s">
        <v>7</v>
      </c>
      <c r="J38" s="109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2"/>
    </row>
    <row r="39" spans="1:28">
      <c r="F39" s="140">
        <f t="shared" si="6"/>
        <v>2</v>
      </c>
      <c r="G39" s="145" t="s">
        <v>7</v>
      </c>
      <c r="H39" s="146" t="s">
        <v>7</v>
      </c>
      <c r="I39" s="147" t="s">
        <v>7</v>
      </c>
      <c r="J39" s="148" t="s">
        <v>7</v>
      </c>
      <c r="K39" s="72"/>
      <c r="L39" s="72"/>
      <c r="M39" s="224" t="s">
        <v>62</v>
      </c>
      <c r="N39" s="224"/>
      <c r="O39" s="224"/>
      <c r="P39" s="224"/>
      <c r="Q39" s="224"/>
      <c r="R39" s="224"/>
      <c r="S39" s="224"/>
      <c r="T39" s="224"/>
      <c r="U39" s="72"/>
      <c r="V39" s="72"/>
      <c r="W39" s="72"/>
      <c r="X39" s="72"/>
      <c r="Y39" s="72"/>
      <c r="Z39" s="72"/>
      <c r="AA39" s="72"/>
      <c r="AB39" s="96"/>
    </row>
    <row r="40" spans="1:28">
      <c r="F40" s="140">
        <f t="shared" si="6"/>
        <v>3</v>
      </c>
      <c r="G40" s="110">
        <f>F19-H40</f>
        <v>6.2024147950978659E-7</v>
      </c>
      <c r="H40" s="111">
        <f>SUM(I40:K40)</f>
        <v>99.99999937975852</v>
      </c>
      <c r="I40" s="71">
        <f>I19/(1+$I$16/2)^$I$15</f>
        <v>2.8014620513718027</v>
      </c>
      <c r="J40" s="72">
        <f>J19/(1+$J$16/2)^$J$15</f>
        <v>2.7231668557681741</v>
      </c>
      <c r="K40" s="72">
        <f>K19/(1+$K$16/2)^$K$15</f>
        <v>94.475370472618536</v>
      </c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96"/>
    </row>
    <row r="41" spans="1:28">
      <c r="F41" s="140">
        <f t="shared" si="6"/>
        <v>4</v>
      </c>
      <c r="G41" s="112">
        <f t="shared" ref="G41:G57" si="7">F20-H41</f>
        <v>6.053212189272017E-7</v>
      </c>
      <c r="H41" s="113">
        <f t="shared" ref="H41:H57" si="8">SUM(I41:AB41)</f>
        <v>99.999999394678781</v>
      </c>
      <c r="I41" s="71">
        <f t="shared" ref="I41:I57" si="9">I20/(1+$I$16/2)^$I$15</f>
        <v>2.923264749257533</v>
      </c>
      <c r="J41" s="72">
        <f t="shared" ref="J41:J57" si="10">J20/(1+$J$16/2)^$J$15</f>
        <v>2.8415654147146165</v>
      </c>
      <c r="K41" s="72">
        <f t="shared" ref="K41:K57" si="11">K20/(1+$K$16/2)^$K$15</f>
        <v>2.7550533309147571</v>
      </c>
      <c r="L41" s="137">
        <f>L20/(1+$L$16/2)^$L$15</f>
        <v>91.480115899791869</v>
      </c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96"/>
    </row>
    <row r="42" spans="1:28">
      <c r="F42" s="140">
        <f t="shared" si="6"/>
        <v>5</v>
      </c>
      <c r="G42" s="112">
        <f t="shared" si="7"/>
        <v>6.0156806114264327E-7</v>
      </c>
      <c r="H42" s="113">
        <f t="shared" si="8"/>
        <v>99.999999398431939</v>
      </c>
      <c r="I42" s="71">
        <f t="shared" si="9"/>
        <v>3.0450674471432637</v>
      </c>
      <c r="J42" s="72">
        <f t="shared" si="10"/>
        <v>2.959963973661059</v>
      </c>
      <c r="K42" s="72">
        <f t="shared" si="11"/>
        <v>2.8698472197028719</v>
      </c>
      <c r="L42" s="72">
        <f t="shared" ref="L42:L57" si="12">L21/(1+$L$16/2)^$L$15</f>
        <v>2.7754889532703846</v>
      </c>
      <c r="M42" s="72">
        <f>M21/(1+$M$16/2)^$M$15</f>
        <v>88.349631804654365</v>
      </c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96"/>
    </row>
    <row r="43" spans="1:28">
      <c r="F43" s="140">
        <f t="shared" si="6"/>
        <v>6</v>
      </c>
      <c r="G43" s="112">
        <f t="shared" si="7"/>
        <v>6.2829634828176495E-7</v>
      </c>
      <c r="H43" s="113">
        <f t="shared" si="8"/>
        <v>99.999999371703652</v>
      </c>
      <c r="I43" s="71">
        <f t="shared" si="9"/>
        <v>3.1668701450289944</v>
      </c>
      <c r="J43" s="72">
        <f t="shared" si="10"/>
        <v>3.078362532607501</v>
      </c>
      <c r="K43" s="72">
        <f t="shared" si="11"/>
        <v>2.9846411084909867</v>
      </c>
      <c r="L43" s="72">
        <f t="shared" si="12"/>
        <v>2.8865085114012001</v>
      </c>
      <c r="M43" s="72">
        <f t="shared" ref="M43:M57" si="13">M22/(1+$M$16/2)^$M$15</f>
        <v>2.7843520326315314</v>
      </c>
      <c r="N43" s="72">
        <f>N22/(1+$N$16/2)^$N$15</f>
        <v>85.099265041543433</v>
      </c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96"/>
    </row>
    <row r="44" spans="1:28">
      <c r="F44" s="140">
        <f t="shared" si="6"/>
        <v>7</v>
      </c>
      <c r="G44" s="112">
        <f t="shared" si="7"/>
        <v>6.9599623486737983E-7</v>
      </c>
      <c r="H44" s="113">
        <f t="shared" si="8"/>
        <v>99.999999304003765</v>
      </c>
      <c r="I44" s="71">
        <f t="shared" si="9"/>
        <v>3.2886728429147247</v>
      </c>
      <c r="J44" s="72">
        <f t="shared" si="10"/>
        <v>3.1967610915539435</v>
      </c>
      <c r="K44" s="72">
        <f t="shared" si="11"/>
        <v>3.0994349972791015</v>
      </c>
      <c r="L44" s="72">
        <f t="shared" si="12"/>
        <v>2.9975280695320152</v>
      </c>
      <c r="M44" s="72">
        <f t="shared" si="13"/>
        <v>2.8914424954250517</v>
      </c>
      <c r="N44" s="72">
        <f t="shared" ref="N44:N57" si="14">N23/(1+$N$16/2)^$N$15</f>
        <v>2.7816951042635263</v>
      </c>
      <c r="O44" s="72">
        <f>O23/(1+$O$16/2)^$O$15</f>
        <v>81.744464703035405</v>
      </c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96"/>
    </row>
    <row r="45" spans="1:28">
      <c r="F45" s="140">
        <f t="shared" si="6"/>
        <v>8</v>
      </c>
      <c r="G45" s="112">
        <f t="shared" si="7"/>
        <v>1.1189648319032131E-7</v>
      </c>
      <c r="H45" s="113">
        <f t="shared" si="8"/>
        <v>99.999999888103517</v>
      </c>
      <c r="I45" s="71">
        <f t="shared" si="9"/>
        <v>3.4104755408004559</v>
      </c>
      <c r="J45" s="72">
        <f t="shared" si="10"/>
        <v>3.3151596505003864</v>
      </c>
      <c r="K45" s="72">
        <f t="shared" si="11"/>
        <v>3.2142288860672168</v>
      </c>
      <c r="L45" s="72">
        <f t="shared" si="12"/>
        <v>3.1085476276628312</v>
      </c>
      <c r="M45" s="72">
        <f t="shared" si="13"/>
        <v>2.9985329582185725</v>
      </c>
      <c r="N45" s="72">
        <f t="shared" si="14"/>
        <v>2.8847208488658795</v>
      </c>
      <c r="O45" s="72">
        <f t="shared" ref="O45:O57" si="15">O24/(1+$O$16/2)^$O$15</f>
        <v>2.7676481398851167</v>
      </c>
      <c r="P45" s="72">
        <f>P24/(1+$P$16/2)^$P$15</f>
        <v>78.300686236103061</v>
      </c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96"/>
    </row>
    <row r="46" spans="1:28">
      <c r="F46" s="140">
        <f t="shared" si="6"/>
        <v>9</v>
      </c>
      <c r="G46" s="112">
        <f t="shared" si="7"/>
        <v>7.9172676237249107E-7</v>
      </c>
      <c r="H46" s="113">
        <f t="shared" si="8"/>
        <v>99.999999208273238</v>
      </c>
      <c r="I46" s="71">
        <f t="shared" si="9"/>
        <v>3.5322782386861853</v>
      </c>
      <c r="J46" s="72">
        <f t="shared" si="10"/>
        <v>3.433558209446828</v>
      </c>
      <c r="K46" s="72">
        <f t="shared" si="11"/>
        <v>3.3290227748553312</v>
      </c>
      <c r="L46" s="72">
        <f t="shared" si="12"/>
        <v>3.2195671857936459</v>
      </c>
      <c r="M46" s="72">
        <f t="shared" si="13"/>
        <v>3.1056234210120923</v>
      </c>
      <c r="N46" s="72">
        <f t="shared" si="14"/>
        <v>2.9877465934682315</v>
      </c>
      <c r="O46" s="72">
        <f t="shared" si="15"/>
        <v>2.8664927163095846</v>
      </c>
      <c r="P46" s="72">
        <f t="shared" ref="P46:P57" si="16">P25/(1+$P$16/2)^$P$15</f>
        <v>2.7424153391871844</v>
      </c>
      <c r="Q46" s="72">
        <f>Q25/(1+$Q$16/2)^$Q$15</f>
        <v>74.783294729514154</v>
      </c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96"/>
    </row>
    <row r="47" spans="1:28">
      <c r="F47" s="140">
        <f t="shared" si="6"/>
        <v>10</v>
      </c>
      <c r="G47" s="112">
        <f t="shared" si="7"/>
        <v>2.654703337157116E-7</v>
      </c>
      <c r="H47" s="113">
        <f t="shared" si="8"/>
        <v>99.999999734529666</v>
      </c>
      <c r="I47" s="71">
        <f t="shared" si="9"/>
        <v>3.6540809365719165</v>
      </c>
      <c r="J47" s="72">
        <f t="shared" si="10"/>
        <v>3.5519567683932705</v>
      </c>
      <c r="K47" s="72">
        <f t="shared" si="11"/>
        <v>3.4438166636434464</v>
      </c>
      <c r="L47" s="72">
        <f t="shared" si="12"/>
        <v>3.3305867439244614</v>
      </c>
      <c r="M47" s="72">
        <f t="shared" si="13"/>
        <v>3.2127138838056131</v>
      </c>
      <c r="N47" s="72">
        <f t="shared" si="14"/>
        <v>3.0907723380705847</v>
      </c>
      <c r="O47" s="72">
        <f t="shared" si="15"/>
        <v>2.9653372927340533</v>
      </c>
      <c r="P47" s="72">
        <f t="shared" si="16"/>
        <v>2.836981385366053</v>
      </c>
      <c r="Q47" s="72">
        <f t="shared" ref="Q47:Q57" si="17">Q26/(1+$Q$16/2)^$Q$15</f>
        <v>2.7062712206096804</v>
      </c>
      <c r="R47" s="72">
        <f>R26/(1+$R$16/2)^$R$15</f>
        <v>71.207482501410595</v>
      </c>
      <c r="S47" s="72"/>
      <c r="T47" s="72"/>
      <c r="U47" s="72"/>
      <c r="V47" s="72"/>
      <c r="W47" s="72"/>
      <c r="X47" s="72"/>
      <c r="Y47" s="72"/>
      <c r="Z47" s="72"/>
      <c r="AA47" s="72"/>
      <c r="AB47" s="96"/>
    </row>
    <row r="48" spans="1:28">
      <c r="F48" s="140">
        <f t="shared" si="6"/>
        <v>11</v>
      </c>
      <c r="G48" s="112">
        <f t="shared" si="7"/>
        <v>2.1726216914430552E-7</v>
      </c>
      <c r="H48" s="113">
        <f t="shared" si="8"/>
        <v>99.999999782737831</v>
      </c>
      <c r="I48" s="71">
        <f t="shared" si="9"/>
        <v>3.7758836344576472</v>
      </c>
      <c r="J48" s="72">
        <f t="shared" si="10"/>
        <v>3.6703553273397129</v>
      </c>
      <c r="K48" s="72">
        <f t="shared" si="11"/>
        <v>3.5586105524315612</v>
      </c>
      <c r="L48" s="72">
        <f t="shared" si="12"/>
        <v>3.441606302055277</v>
      </c>
      <c r="M48" s="72">
        <f t="shared" si="13"/>
        <v>3.3198043465991334</v>
      </c>
      <c r="N48" s="72">
        <f t="shared" si="14"/>
        <v>3.1937980826729375</v>
      </c>
      <c r="O48" s="72">
        <f t="shared" si="15"/>
        <v>3.0641818691585216</v>
      </c>
      <c r="P48" s="72">
        <f t="shared" si="16"/>
        <v>2.9315474315449217</v>
      </c>
      <c r="Q48" s="72">
        <f t="shared" si="17"/>
        <v>2.7964802612966695</v>
      </c>
      <c r="R48" s="72">
        <f t="shared" ref="R48:R57" si="18">R27/(1+$R$16/2)^$R$15</f>
        <v>2.6595565753538892</v>
      </c>
      <c r="S48" s="72">
        <f>S27/(1+$S$16/2)^$S$15</f>
        <v>67.588175399827563</v>
      </c>
      <c r="T48" s="72"/>
      <c r="U48" s="72"/>
      <c r="V48" s="72"/>
      <c r="W48" s="72"/>
      <c r="X48" s="72"/>
      <c r="Y48" s="72"/>
      <c r="Z48" s="72"/>
      <c r="AA48" s="72"/>
      <c r="AB48" s="96"/>
    </row>
    <row r="49" spans="6:28">
      <c r="F49" s="140">
        <f t="shared" si="6"/>
        <v>12</v>
      </c>
      <c r="G49" s="112">
        <f t="shared" si="7"/>
        <v>1.9569051801227033E-7</v>
      </c>
      <c r="H49" s="113">
        <f t="shared" si="8"/>
        <v>99.999999804309482</v>
      </c>
      <c r="I49" s="71">
        <f t="shared" si="9"/>
        <v>3.8976863323433775</v>
      </c>
      <c r="J49" s="72">
        <f t="shared" si="10"/>
        <v>3.7887538862861554</v>
      </c>
      <c r="K49" s="72">
        <f t="shared" si="11"/>
        <v>3.673404441219676</v>
      </c>
      <c r="L49" s="72">
        <f t="shared" si="12"/>
        <v>3.5526258601860921</v>
      </c>
      <c r="M49" s="72">
        <f t="shared" si="13"/>
        <v>3.4268948093926541</v>
      </c>
      <c r="N49" s="72">
        <f t="shared" si="14"/>
        <v>3.2968238272752903</v>
      </c>
      <c r="O49" s="72">
        <f t="shared" si="15"/>
        <v>3.1630264455829904</v>
      </c>
      <c r="P49" s="72">
        <f t="shared" si="16"/>
        <v>3.0261134777237899</v>
      </c>
      <c r="Q49" s="72">
        <f t="shared" si="17"/>
        <v>2.886689301983659</v>
      </c>
      <c r="R49" s="72">
        <f t="shared" si="18"/>
        <v>2.7453487229459501</v>
      </c>
      <c r="S49" s="72">
        <f t="shared" ref="S49:S57" si="19">S28/(1+$S$16/2)^$S$15</f>
        <v>2.6026734209319882</v>
      </c>
      <c r="T49" s="72">
        <f>T28/(1+$T$16/2)^$T$15</f>
        <v>63.939959278437861</v>
      </c>
      <c r="U49" s="72"/>
      <c r="V49" s="72"/>
      <c r="W49" s="72"/>
      <c r="X49" s="72"/>
      <c r="Y49" s="72"/>
      <c r="Z49" s="72"/>
      <c r="AA49" s="72"/>
      <c r="AB49" s="96"/>
    </row>
    <row r="50" spans="6:28">
      <c r="F50" s="140">
        <f t="shared" si="6"/>
        <v>13</v>
      </c>
      <c r="G50" s="112">
        <f t="shared" si="7"/>
        <v>3.5293234645905613E-7</v>
      </c>
      <c r="H50" s="113">
        <f t="shared" si="8"/>
        <v>99.999999647067654</v>
      </c>
      <c r="I50" s="71">
        <f t="shared" si="9"/>
        <v>4.0194890302291082</v>
      </c>
      <c r="J50" s="72">
        <f t="shared" si="10"/>
        <v>3.9071524452325979</v>
      </c>
      <c r="K50" s="72">
        <f t="shared" si="11"/>
        <v>3.7881983300077908</v>
      </c>
      <c r="L50" s="72">
        <f t="shared" si="12"/>
        <v>3.6636454183169076</v>
      </c>
      <c r="M50" s="72">
        <f t="shared" si="13"/>
        <v>3.5339852721861744</v>
      </c>
      <c r="N50" s="72">
        <f t="shared" si="14"/>
        <v>3.3998495718776431</v>
      </c>
      <c r="O50" s="72">
        <f t="shared" si="15"/>
        <v>3.2618710220074587</v>
      </c>
      <c r="P50" s="72">
        <f t="shared" si="16"/>
        <v>3.1206795239026586</v>
      </c>
      <c r="Q50" s="72">
        <f t="shared" si="17"/>
        <v>2.9768983426706486</v>
      </c>
      <c r="R50" s="72">
        <f t="shared" si="18"/>
        <v>2.831140870538011</v>
      </c>
      <c r="S50" s="72">
        <f t="shared" si="19"/>
        <v>2.6840069653361125</v>
      </c>
      <c r="T50" s="72">
        <f t="shared" ref="T50:T57" si="20">T29/(1+$T$16/2)^$T$15</f>
        <v>2.5360801156111172</v>
      </c>
      <c r="U50" s="72">
        <f>U29/(1+$U$16/2)^$U$15</f>
        <v>60.277002739151428</v>
      </c>
      <c r="V50" s="72"/>
      <c r="W50" s="72"/>
      <c r="X50" s="72"/>
      <c r="Y50" s="72"/>
      <c r="Z50" s="72"/>
      <c r="AA50" s="72"/>
      <c r="AB50" s="96"/>
    </row>
    <row r="51" spans="6:28">
      <c r="F51" s="140">
        <f t="shared" si="6"/>
        <v>14</v>
      </c>
      <c r="G51" s="112">
        <f t="shared" si="7"/>
        <v>8.8168835077340191E-7</v>
      </c>
      <c r="H51" s="113">
        <f t="shared" si="8"/>
        <v>99.999999118311649</v>
      </c>
      <c r="I51" s="71">
        <f t="shared" si="9"/>
        <v>4.1412917281148331</v>
      </c>
      <c r="J51" s="72">
        <f t="shared" si="10"/>
        <v>4.025551004179035</v>
      </c>
      <c r="K51" s="72">
        <f t="shared" si="11"/>
        <v>3.9029922187959007</v>
      </c>
      <c r="L51" s="72">
        <f t="shared" si="12"/>
        <v>3.7746649764477183</v>
      </c>
      <c r="M51" s="72">
        <f t="shared" si="13"/>
        <v>3.6410757349796903</v>
      </c>
      <c r="N51" s="72">
        <f t="shared" si="14"/>
        <v>3.502875316479992</v>
      </c>
      <c r="O51" s="72">
        <f t="shared" si="15"/>
        <v>3.360715598431923</v>
      </c>
      <c r="P51" s="72">
        <f t="shared" si="16"/>
        <v>3.2152455700815228</v>
      </c>
      <c r="Q51" s="72">
        <f t="shared" si="17"/>
        <v>3.0671073833576337</v>
      </c>
      <c r="R51" s="72">
        <f t="shared" si="18"/>
        <v>2.9169330181300683</v>
      </c>
      <c r="S51" s="72">
        <f t="shared" si="19"/>
        <v>2.7653405097402337</v>
      </c>
      <c r="T51" s="72">
        <f t="shared" si="20"/>
        <v>2.6129310282053901</v>
      </c>
      <c r="U51" s="72">
        <f t="shared" ref="U51:U57" si="21">U30/(1+$U$16/2)^$U$15</f>
        <v>2.46028582608781</v>
      </c>
      <c r="V51" s="72">
        <f>V30/(1+$V$16/2)^$V$15</f>
        <v>56.612989205279895</v>
      </c>
      <c r="W51" s="72"/>
      <c r="X51" s="72"/>
      <c r="Y51" s="72"/>
      <c r="Z51" s="72"/>
      <c r="AA51" s="72"/>
      <c r="AB51" s="96"/>
    </row>
    <row r="52" spans="6:28">
      <c r="F52" s="140">
        <f t="shared" si="6"/>
        <v>15</v>
      </c>
      <c r="G52" s="112">
        <f t="shared" si="7"/>
        <v>6.9148285319897695E-7</v>
      </c>
      <c r="H52" s="113">
        <f t="shared" si="8"/>
        <v>99.999999308517147</v>
      </c>
      <c r="I52" s="71">
        <f t="shared" si="9"/>
        <v>4.2630944260005652</v>
      </c>
      <c r="J52" s="72">
        <f t="shared" si="10"/>
        <v>4.1439495631254779</v>
      </c>
      <c r="K52" s="72">
        <f t="shared" si="11"/>
        <v>4.0177861075840164</v>
      </c>
      <c r="L52" s="72">
        <f t="shared" si="12"/>
        <v>3.8856845345785342</v>
      </c>
      <c r="M52" s="72">
        <f t="shared" si="13"/>
        <v>3.7481661977732115</v>
      </c>
      <c r="N52" s="72">
        <f t="shared" si="14"/>
        <v>3.6059010610823452</v>
      </c>
      <c r="O52" s="72">
        <f t="shared" si="15"/>
        <v>3.4595601748563922</v>
      </c>
      <c r="P52" s="72">
        <f t="shared" si="16"/>
        <v>3.3098116162603919</v>
      </c>
      <c r="Q52" s="72">
        <f t="shared" si="17"/>
        <v>3.1573164240446236</v>
      </c>
      <c r="R52" s="72">
        <f t="shared" si="18"/>
        <v>3.0027251657221297</v>
      </c>
      <c r="S52" s="72">
        <f t="shared" si="19"/>
        <v>2.8466740541443589</v>
      </c>
      <c r="T52" s="72">
        <f t="shared" si="20"/>
        <v>2.689781940799667</v>
      </c>
      <c r="U52" s="72">
        <f t="shared" si="21"/>
        <v>2.5326471739139227</v>
      </c>
      <c r="V52" s="72">
        <f t="shared" ref="V52:V57" si="22">V31/(1+$V$16/2)^$V$15</f>
        <v>2.3758448707251731</v>
      </c>
      <c r="W52" s="72">
        <f>W31/(1+$W$16/2)^$W$15</f>
        <v>52.961055997906321</v>
      </c>
      <c r="X52" s="72"/>
      <c r="Y52" s="72"/>
      <c r="Z52" s="72"/>
      <c r="AA52" s="72"/>
      <c r="AB52" s="96"/>
    </row>
    <row r="53" spans="6:28">
      <c r="F53" s="140">
        <f t="shared" si="6"/>
        <v>16</v>
      </c>
      <c r="G53" s="112">
        <f t="shared" si="7"/>
        <v>9.1954348135914188E-7</v>
      </c>
      <c r="H53" s="113">
        <f t="shared" si="8"/>
        <v>99.999999080456519</v>
      </c>
      <c r="I53" s="71">
        <f t="shared" si="9"/>
        <v>4.3848971238862946</v>
      </c>
      <c r="J53" s="72">
        <f t="shared" si="10"/>
        <v>4.2623481220719199</v>
      </c>
      <c r="K53" s="72">
        <f t="shared" si="11"/>
        <v>4.1325799963721304</v>
      </c>
      <c r="L53" s="72">
        <f t="shared" si="12"/>
        <v>3.9967040927093489</v>
      </c>
      <c r="M53" s="72">
        <f t="shared" si="13"/>
        <v>3.8552566605667313</v>
      </c>
      <c r="N53" s="72">
        <f t="shared" si="14"/>
        <v>3.7089268056846976</v>
      </c>
      <c r="O53" s="72">
        <f t="shared" si="15"/>
        <v>3.5584047512808596</v>
      </c>
      <c r="P53" s="72">
        <f t="shared" si="16"/>
        <v>3.4043776624392597</v>
      </c>
      <c r="Q53" s="72">
        <f t="shared" si="17"/>
        <v>3.2475254647316127</v>
      </c>
      <c r="R53" s="72">
        <f t="shared" si="18"/>
        <v>3.0885173133141901</v>
      </c>
      <c r="S53" s="72">
        <f t="shared" si="19"/>
        <v>2.9280075985484832</v>
      </c>
      <c r="T53" s="72">
        <f t="shared" si="20"/>
        <v>2.7666328533939426</v>
      </c>
      <c r="U53" s="72">
        <f t="shared" si="21"/>
        <v>2.6050085217400345</v>
      </c>
      <c r="V53" s="72">
        <f t="shared" si="22"/>
        <v>2.4437261527458918</v>
      </c>
      <c r="W53" s="72">
        <f t="shared" ref="W53:W57" si="23">W32/(1+$W$16/2)^$W$15</f>
        <v>2.2833509172750004</v>
      </c>
      <c r="X53" s="72">
        <f>X32/(1+$X$16/2)^$X$15</f>
        <v>49.333735043696123</v>
      </c>
      <c r="Y53" s="72"/>
      <c r="Z53" s="72"/>
      <c r="AA53" s="72"/>
      <c r="AB53" s="96"/>
    </row>
    <row r="54" spans="6:28">
      <c r="F54" s="140">
        <f t="shared" si="6"/>
        <v>17</v>
      </c>
      <c r="G54" s="112">
        <f t="shared" si="7"/>
        <v>9.8569162787498499E-7</v>
      </c>
      <c r="H54" s="113">
        <f t="shared" si="8"/>
        <v>99.999999014308372</v>
      </c>
      <c r="I54" s="71">
        <f t="shared" si="9"/>
        <v>4.5066998217720249</v>
      </c>
      <c r="J54" s="72">
        <f t="shared" si="10"/>
        <v>4.380746681018362</v>
      </c>
      <c r="K54" s="72">
        <f t="shared" si="11"/>
        <v>4.2473738851602452</v>
      </c>
      <c r="L54" s="72">
        <f t="shared" si="12"/>
        <v>4.107723650840164</v>
      </c>
      <c r="M54" s="72">
        <f t="shared" si="13"/>
        <v>3.9623471233602516</v>
      </c>
      <c r="N54" s="72">
        <f t="shared" si="14"/>
        <v>3.8119525502870504</v>
      </c>
      <c r="O54" s="72">
        <f t="shared" si="15"/>
        <v>3.6572493277053284</v>
      </c>
      <c r="P54" s="72">
        <f t="shared" si="16"/>
        <v>3.4989437086181283</v>
      </c>
      <c r="Q54" s="72">
        <f t="shared" si="17"/>
        <v>3.3377345054186018</v>
      </c>
      <c r="R54" s="72">
        <f t="shared" si="18"/>
        <v>3.174309460906251</v>
      </c>
      <c r="S54" s="72">
        <f t="shared" si="19"/>
        <v>3.0093411429526076</v>
      </c>
      <c r="T54" s="72">
        <f t="shared" si="20"/>
        <v>2.8434837659882191</v>
      </c>
      <c r="U54" s="72">
        <f t="shared" si="21"/>
        <v>2.6773698695661468</v>
      </c>
      <c r="V54" s="72">
        <f t="shared" si="22"/>
        <v>2.5116074347666113</v>
      </c>
      <c r="W54" s="72">
        <f t="shared" si="23"/>
        <v>2.3467773316437506</v>
      </c>
      <c r="X54" s="72">
        <f t="shared" ref="X54:X57" si="24">X33/(1+$X$16/2)^$X$15</f>
        <v>2.1834308571970746</v>
      </c>
      <c r="Y54" s="72">
        <f>Y33/(1+$Y$16/2)^$Y$15</f>
        <v>45.742907897107543</v>
      </c>
      <c r="Z54" s="72"/>
      <c r="AA54" s="72"/>
      <c r="AB54" s="96"/>
    </row>
    <row r="55" spans="6:28">
      <c r="F55" s="140">
        <f t="shared" si="6"/>
        <v>18</v>
      </c>
      <c r="G55" s="112">
        <f t="shared" si="7"/>
        <v>3.3214237760148535E-7</v>
      </c>
      <c r="H55" s="113">
        <f t="shared" si="8"/>
        <v>99.999999667857622</v>
      </c>
      <c r="I55" s="71">
        <f t="shared" si="9"/>
        <v>4.6285025196577569</v>
      </c>
      <c r="J55" s="72">
        <f t="shared" si="10"/>
        <v>4.4991452399648058</v>
      </c>
      <c r="K55" s="72">
        <f t="shared" si="11"/>
        <v>4.3621677739483609</v>
      </c>
      <c r="L55" s="72">
        <f t="shared" si="12"/>
        <v>4.2187432089709809</v>
      </c>
      <c r="M55" s="72">
        <f t="shared" si="13"/>
        <v>4.0694375861537724</v>
      </c>
      <c r="N55" s="72">
        <f t="shared" si="14"/>
        <v>3.9149782948894036</v>
      </c>
      <c r="O55" s="72">
        <f t="shared" si="15"/>
        <v>3.7560939041297976</v>
      </c>
      <c r="P55" s="72">
        <f t="shared" si="16"/>
        <v>3.5935097547969974</v>
      </c>
      <c r="Q55" s="72">
        <f t="shared" si="17"/>
        <v>3.4279435461055918</v>
      </c>
      <c r="R55" s="72">
        <f t="shared" si="18"/>
        <v>3.2601016084983128</v>
      </c>
      <c r="S55" s="72">
        <f t="shared" si="19"/>
        <v>3.0906746873567328</v>
      </c>
      <c r="T55" s="72">
        <f t="shared" si="20"/>
        <v>2.920334678582496</v>
      </c>
      <c r="U55" s="72">
        <f t="shared" si="21"/>
        <v>2.7497312173922595</v>
      </c>
      <c r="V55" s="72">
        <f t="shared" si="22"/>
        <v>2.5794887167873308</v>
      </c>
      <c r="W55" s="72">
        <f t="shared" si="23"/>
        <v>2.4102037460125012</v>
      </c>
      <c r="X55" s="72">
        <f t="shared" si="24"/>
        <v>2.2424425019861851</v>
      </c>
      <c r="Y55" s="72">
        <f t="shared" ref="Y55:Y57" si="25">Y34/(1+$Y$16/2)^$Y$15</f>
        <v>2.076738948733674</v>
      </c>
      <c r="Z55" s="72">
        <f>Z34/(1+$Z$16/2)^$Z$15</f>
        <v>42.199761733890675</v>
      </c>
      <c r="AA55" s="72"/>
      <c r="AB55" s="96"/>
    </row>
    <row r="56" spans="6:28">
      <c r="F56" s="140">
        <f t="shared" si="6"/>
        <v>19</v>
      </c>
      <c r="G56" s="112">
        <f t="shared" si="7"/>
        <v>2.9036795012871153E-7</v>
      </c>
      <c r="H56" s="113">
        <f t="shared" si="8"/>
        <v>99.99999970963205</v>
      </c>
      <c r="I56" s="71">
        <f t="shared" si="9"/>
        <v>4.7503052175434872</v>
      </c>
      <c r="J56" s="72">
        <f t="shared" si="10"/>
        <v>4.6175437989112478</v>
      </c>
      <c r="K56" s="72">
        <f t="shared" si="11"/>
        <v>4.4769616627364757</v>
      </c>
      <c r="L56" s="72">
        <f t="shared" si="12"/>
        <v>4.329762767101796</v>
      </c>
      <c r="M56" s="72">
        <f t="shared" si="13"/>
        <v>4.1765280489472936</v>
      </c>
      <c r="N56" s="72">
        <f t="shared" si="14"/>
        <v>4.0180040394917569</v>
      </c>
      <c r="O56" s="72">
        <f t="shared" si="15"/>
        <v>3.8549384805542659</v>
      </c>
      <c r="P56" s="72">
        <f t="shared" si="16"/>
        <v>3.6880758009758656</v>
      </c>
      <c r="Q56" s="72">
        <f t="shared" si="17"/>
        <v>3.5181525867925814</v>
      </c>
      <c r="R56" s="72">
        <f t="shared" si="18"/>
        <v>3.3458937560903736</v>
      </c>
      <c r="S56" s="72">
        <f t="shared" si="19"/>
        <v>3.1720082317608576</v>
      </c>
      <c r="T56" s="72">
        <f t="shared" si="20"/>
        <v>2.997185591176772</v>
      </c>
      <c r="U56" s="72">
        <f t="shared" si="21"/>
        <v>2.8220925652183713</v>
      </c>
      <c r="V56" s="72">
        <f t="shared" si="22"/>
        <v>2.6473699988080504</v>
      </c>
      <c r="W56" s="72">
        <f t="shared" si="23"/>
        <v>2.4736301603812514</v>
      </c>
      <c r="X56" s="72">
        <f t="shared" si="24"/>
        <v>2.3014541467752956</v>
      </c>
      <c r="Y56" s="72">
        <f t="shared" si="25"/>
        <v>2.1313899737003497</v>
      </c>
      <c r="Z56" s="72">
        <f t="shared" ref="Z56:Z57" si="26">Z35/(1+$Z$16/2)^$Z$15</f>
        <v>1.9639507250856028</v>
      </c>
      <c r="AA56" s="72">
        <f>AA35/(1+$AA$16/2)^$AA$15</f>
        <v>38.714752157580364</v>
      </c>
      <c r="AB56" s="96"/>
    </row>
    <row r="57" spans="6:28">
      <c r="F57" s="141">
        <f t="shared" si="6"/>
        <v>20</v>
      </c>
      <c r="G57" s="114">
        <f t="shared" si="7"/>
        <v>3.4297529794002912E-7</v>
      </c>
      <c r="H57" s="115">
        <f t="shared" si="8"/>
        <v>99.999999657024702</v>
      </c>
      <c r="I57" s="98">
        <f t="shared" si="9"/>
        <v>4.8721079154292157</v>
      </c>
      <c r="J57" s="99">
        <f t="shared" si="10"/>
        <v>4.735942357857688</v>
      </c>
      <c r="K57" s="99">
        <f t="shared" si="11"/>
        <v>4.5917555515245896</v>
      </c>
      <c r="L57" s="99">
        <f t="shared" si="12"/>
        <v>4.4407823252326102</v>
      </c>
      <c r="M57" s="99">
        <f t="shared" si="13"/>
        <v>4.2836185117408121</v>
      </c>
      <c r="N57" s="99">
        <f t="shared" si="14"/>
        <v>4.1210297840941079</v>
      </c>
      <c r="O57" s="99">
        <f t="shared" si="15"/>
        <v>3.9537830569787329</v>
      </c>
      <c r="P57" s="99">
        <f t="shared" si="16"/>
        <v>3.782641847154733</v>
      </c>
      <c r="Q57" s="99">
        <f t="shared" si="17"/>
        <v>3.6083616274795691</v>
      </c>
      <c r="R57" s="99">
        <f t="shared" si="18"/>
        <v>3.4316859036824332</v>
      </c>
      <c r="S57" s="99">
        <f t="shared" si="19"/>
        <v>3.253341776164981</v>
      </c>
      <c r="T57" s="99">
        <f t="shared" si="20"/>
        <v>3.0740365037710475</v>
      </c>
      <c r="U57" s="99">
        <f t="shared" si="21"/>
        <v>2.8944539130444826</v>
      </c>
      <c r="V57" s="99">
        <f t="shared" si="22"/>
        <v>2.7152512808287685</v>
      </c>
      <c r="W57" s="99">
        <f t="shared" si="23"/>
        <v>2.5370565747500002</v>
      </c>
      <c r="X57" s="99">
        <f t="shared" si="24"/>
        <v>2.3604657915644047</v>
      </c>
      <c r="Y57" s="99">
        <f t="shared" si="25"/>
        <v>2.1860409986670248</v>
      </c>
      <c r="Z57" s="99">
        <f t="shared" si="26"/>
        <v>2.014308435985233</v>
      </c>
      <c r="AA57" s="99">
        <f>AA36/(1+$AA$16/2)^$AA$15</f>
        <v>1.8457569562612788</v>
      </c>
      <c r="AB57" s="100">
        <f>AB36/(1+$AB$16/2)^$AB$15</f>
        <v>35.297578544812993</v>
      </c>
    </row>
  </sheetData>
  <mergeCells count="8">
    <mergeCell ref="A1:AB1"/>
    <mergeCell ref="D7:E8"/>
    <mergeCell ref="I37:AB37"/>
    <mergeCell ref="A14:F14"/>
    <mergeCell ref="M39:T39"/>
    <mergeCell ref="M18:S18"/>
    <mergeCell ref="H5:I5"/>
    <mergeCell ref="H7:I7"/>
  </mergeCells>
  <phoneticPr fontId="2" type="noConversion"/>
  <printOptions headings="1" gridLines="1"/>
  <pageMargins left="0.75" right="0.75" top="1" bottom="1" header="0.5" footer="0.5"/>
  <pageSetup scale="3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autoFill="0" autoPict="0" macro="[0]!Spot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84"/>
  <sheetViews>
    <sheetView topLeftCell="A23" workbookViewId="0">
      <selection activeCell="G57" sqref="G57"/>
    </sheetView>
  </sheetViews>
  <sheetFormatPr baseColWidth="10" defaultColWidth="8.83203125" defaultRowHeight="13"/>
  <cols>
    <col min="1" max="1" width="6.6640625" style="1" bestFit="1" customWidth="1"/>
    <col min="2" max="2" width="10.83203125" style="1" bestFit="1" customWidth="1"/>
    <col min="3" max="3" width="9" style="1" bestFit="1" customWidth="1"/>
    <col min="4" max="4" width="14.1640625" style="1" customWidth="1"/>
    <col min="5" max="5" width="14.6640625" style="1" bestFit="1" customWidth="1"/>
    <col min="6" max="6" width="11.33203125" style="1" bestFit="1" customWidth="1"/>
    <col min="7" max="7" width="7.6640625" style="1" customWidth="1"/>
    <col min="8" max="8" width="8.83203125" style="1"/>
    <col min="9" max="9" width="6.5" style="1" bestFit="1" customWidth="1"/>
    <col min="10" max="10" width="9" style="1" bestFit="1" customWidth="1"/>
    <col min="11" max="12" width="9" style="1" customWidth="1"/>
    <col min="13" max="16" width="9" style="1" bestFit="1" customWidth="1"/>
    <col min="17" max="16384" width="8.83203125" style="1"/>
  </cols>
  <sheetData>
    <row r="1" spans="1:19" ht="14" thickBot="1">
      <c r="A1" s="240" t="s">
        <v>52</v>
      </c>
      <c r="B1" s="241"/>
      <c r="C1" s="241"/>
      <c r="D1" s="241"/>
      <c r="E1" s="241"/>
      <c r="F1" s="242"/>
      <c r="H1" s="232" t="s">
        <v>71</v>
      </c>
      <c r="I1" s="233"/>
      <c r="J1" s="203">
        <v>1</v>
      </c>
      <c r="K1" s="170">
        <f>J1+1</f>
        <v>2</v>
      </c>
      <c r="L1" s="170">
        <f t="shared" ref="L1:S1" si="0">K1+1</f>
        <v>3</v>
      </c>
      <c r="M1" s="170">
        <f t="shared" si="0"/>
        <v>4</v>
      </c>
      <c r="N1" s="170">
        <f t="shared" si="0"/>
        <v>5</v>
      </c>
      <c r="O1" s="170">
        <f t="shared" si="0"/>
        <v>6</v>
      </c>
      <c r="P1" s="170">
        <f t="shared" si="0"/>
        <v>7</v>
      </c>
      <c r="Q1" s="170">
        <f t="shared" si="0"/>
        <v>8</v>
      </c>
      <c r="R1" s="170">
        <f t="shared" si="0"/>
        <v>9</v>
      </c>
      <c r="S1" s="171">
        <f t="shared" si="0"/>
        <v>10</v>
      </c>
    </row>
    <row r="2" spans="1:19" ht="14" thickBot="1">
      <c r="A2" s="12"/>
      <c r="B2" s="12"/>
      <c r="C2" s="12"/>
      <c r="D2" s="12"/>
      <c r="E2" s="12"/>
      <c r="F2" s="13"/>
      <c r="H2" s="232" t="s">
        <v>70</v>
      </c>
      <c r="I2" s="233"/>
      <c r="J2" s="172">
        <f t="shared" ref="J2:S2" si="1">DATE(YEAR(Settlement_Date)+J1,MONTH(Settlement_Date),DAY(Settlement_Date))</f>
        <v>37257</v>
      </c>
      <c r="K2" s="173">
        <f t="shared" si="1"/>
        <v>37622</v>
      </c>
      <c r="L2" s="173">
        <f t="shared" si="1"/>
        <v>37987</v>
      </c>
      <c r="M2" s="173">
        <f t="shared" si="1"/>
        <v>38353</v>
      </c>
      <c r="N2" s="173">
        <f t="shared" si="1"/>
        <v>38718</v>
      </c>
      <c r="O2" s="173">
        <f t="shared" si="1"/>
        <v>39083</v>
      </c>
      <c r="P2" s="173">
        <f t="shared" si="1"/>
        <v>39448</v>
      </c>
      <c r="Q2" s="173">
        <f t="shared" si="1"/>
        <v>39814</v>
      </c>
      <c r="R2" s="173">
        <f t="shared" si="1"/>
        <v>40179</v>
      </c>
      <c r="S2" s="174">
        <f t="shared" si="1"/>
        <v>40544</v>
      </c>
    </row>
    <row r="3" spans="1:19" ht="14" thickBot="1">
      <c r="A3" s="257" t="s">
        <v>25</v>
      </c>
      <c r="B3" s="257"/>
      <c r="C3" s="257"/>
      <c r="D3" s="257"/>
      <c r="E3" s="257"/>
      <c r="F3" s="52"/>
      <c r="H3" s="232"/>
      <c r="I3" s="234"/>
      <c r="J3" s="235" t="s">
        <v>5</v>
      </c>
      <c r="K3" s="236"/>
      <c r="L3" s="236"/>
      <c r="M3" s="236"/>
      <c r="N3" s="236"/>
      <c r="O3" s="236"/>
      <c r="P3" s="236"/>
      <c r="Q3" s="236"/>
      <c r="R3" s="236"/>
      <c r="S3" s="237"/>
    </row>
    <row r="4" spans="1:19">
      <c r="A4" s="2"/>
      <c r="B4" s="3"/>
      <c r="C4" s="4"/>
      <c r="D4" s="243" t="s">
        <v>26</v>
      </c>
      <c r="E4" s="245" t="s">
        <v>68</v>
      </c>
      <c r="H4" s="229" t="s">
        <v>67</v>
      </c>
      <c r="I4" s="165"/>
      <c r="J4" s="164">
        <f>PRICE(Settlement_Date,DATE(YEAR(Settlement_Date)+J1,MONTH(Settlement_Date),DAY(Settlement_Date)),coupon,D16,par,freq)</f>
        <v>100.96107583977599</v>
      </c>
      <c r="K4" s="164">
        <f>PRICE(Settlement_Date,DATE(YEAR(Settlement_Date)+K1,MONTH(Settlement_Date),DAY(Settlement_Date)),coupon,D16,par,freq)</f>
        <v>101.8583521608108</v>
      </c>
      <c r="L4" s="164">
        <f>PRICE(Settlement_Date,DATE(YEAR(Settlement_Date)+L1,MONTH(Settlement_Date),DAY(Settlement_Date)),coupon,D16,par,freq)</f>
        <v>102.69606419452231</v>
      </c>
      <c r="M4" s="164">
        <f>PRICE(Settlement_Date,DATE(YEAR(Settlement_Date)+M1,MONTH(Settlement_Date),DAY(Settlement_Date)),coupon,D16,par,freq)</f>
        <v>103.47816602310479</v>
      </c>
      <c r="N4" s="164">
        <f>PRICE(Settlement_Date,DATE(YEAR(Settlement_Date)+N1,MONTH(Settlement_Date),DAY(Settlement_Date)),coupon,D16,par,freq)</f>
        <v>104.20834924318099</v>
      </c>
      <c r="O4" s="164">
        <f>PRICE(Settlement_Date,DATE(YEAR(Settlement_Date)+O1,MONTH(Settlement_Date),DAY(Settlement_Date)),coupon,D16,par,freq)</f>
        <v>104.89006039049691</v>
      </c>
      <c r="P4" s="164">
        <f>PRICE(Settlement_Date,DATE(YEAR(Settlement_Date)+P1,MONTH(Settlement_Date),DAY(Settlement_Date)),coupon,D16,par,freq)</f>
        <v>105.52651720790544</v>
      </c>
      <c r="Q4" s="164">
        <f>PRICE(Settlement_Date,DATE(YEAR(Settlement_Date)+Q1,MONTH(Settlement_Date),DAY(Settlement_Date)),coupon,D16,par,freq)</f>
        <v>106.12072383342519</v>
      </c>
      <c r="R4" s="164">
        <f>PRICE(Settlement_Date,DATE(YEAR(Settlement_Date)+R1,MONTH(Settlement_Date),DAY(Settlement_Date)),coupon,D16,par,freq)</f>
        <v>106.67548498006386</v>
      </c>
      <c r="S4" s="169">
        <f>PRICE(Settlement_Date,DATE(YEAR(Settlement_Date)+S1,MONTH(Settlement_Date),DAY(Settlement_Date)),coupon,D16,par,freq)</f>
        <v>107.19341917433619</v>
      </c>
    </row>
    <row r="5" spans="1:19" ht="13" customHeight="1">
      <c r="A5" s="6"/>
      <c r="B5" s="7"/>
      <c r="C5" s="8"/>
      <c r="D5" s="244"/>
      <c r="E5" s="246"/>
      <c r="H5" s="230"/>
      <c r="I5" s="166">
        <v>0.01</v>
      </c>
      <c r="J5" s="9">
        <f t="dataTable" ref="J5:S29" dt2D="0" dtr="0" r1="D16"/>
        <v>106.94784782554891</v>
      </c>
      <c r="K5" s="9">
        <v>113.82673480908784</v>
      </c>
      <c r="L5" s="9">
        <v>120.63734542123994</v>
      </c>
      <c r="M5" s="9">
        <v>127.38035733891734</v>
      </c>
      <c r="N5" s="9">
        <v>134.05644151275203</v>
      </c>
      <c r="O5" s="9">
        <v>140.66626223385765</v>
      </c>
      <c r="P5" s="9">
        <v>147.21047719992842</v>
      </c>
      <c r="Q5" s="54">
        <v>153.68973758068213</v>
      </c>
      <c r="R5" s="54">
        <v>160.10468808265358</v>
      </c>
      <c r="S5" s="150">
        <v>166.45596701334483</v>
      </c>
    </row>
    <row r="6" spans="1:19" ht="12.75" customHeight="1">
      <c r="A6" s="247" t="s">
        <v>27</v>
      </c>
      <c r="B6" s="248"/>
      <c r="C6" s="249"/>
      <c r="D6" s="181">
        <f>C44</f>
        <v>103.47816602310479</v>
      </c>
      <c r="E6" s="199">
        <f>PRICE(Settlement_Date,Maturity_Date,coupon,'Front End'!D19,par,freq)</f>
        <v>103.47816602310479</v>
      </c>
      <c r="H6" s="230"/>
      <c r="I6" s="167">
        <f>I5+0.005</f>
        <v>1.4999999999999999E-2</v>
      </c>
      <c r="J6" s="9">
        <v>106.42759945569516</v>
      </c>
      <c r="K6" s="9">
        <v>112.75985883116837</v>
      </c>
      <c r="L6" s="9">
        <v>118.99819229837593</v>
      </c>
      <c r="M6" s="9">
        <v>125.14399305297209</v>
      </c>
      <c r="N6" s="9">
        <v>131.19863362544891</v>
      </c>
      <c r="O6" s="9">
        <v>137.1634661876609</v>
      </c>
      <c r="P6" s="9">
        <v>143.03982285480325</v>
      </c>
      <c r="Q6" s="54">
        <v>148.82901598291053</v>
      </c>
      <c r="R6" s="54">
        <v>154.53233846194289</v>
      </c>
      <c r="S6" s="150">
        <v>160.15106400452473</v>
      </c>
    </row>
    <row r="7" spans="1:19">
      <c r="A7" s="250" t="s">
        <v>28</v>
      </c>
      <c r="B7" s="251"/>
      <c r="C7" s="252"/>
      <c r="D7" s="182">
        <f>INT((Maturity_Date-Settlement_Date)/365)</f>
        <v>4</v>
      </c>
      <c r="E7" s="183">
        <f>COUPNUM(Settlement_Date,Maturity_Date,freq)/2</f>
        <v>4</v>
      </c>
      <c r="H7" s="230"/>
      <c r="I7" s="167">
        <f t="shared" ref="I7:I29" si="2">I6+0.005</f>
        <v>0.02</v>
      </c>
      <c r="J7" s="9">
        <v>105.91118517792373</v>
      </c>
      <c r="K7" s="9">
        <v>111.70589665515512</v>
      </c>
      <c r="L7" s="9">
        <v>117.38642942373797</v>
      </c>
      <c r="M7" s="9">
        <v>122.95503325530632</v>
      </c>
      <c r="N7" s="9">
        <v>128.41391359210499</v>
      </c>
      <c r="O7" s="9">
        <v>133.76523242045388</v>
      </c>
      <c r="P7" s="9">
        <v>139.01110912700113</v>
      </c>
      <c r="Q7" s="54">
        <v>144.15362133810524</v>
      </c>
      <c r="R7" s="54">
        <v>149.1948057426774</v>
      </c>
      <c r="S7" s="150">
        <v>154.13665889881131</v>
      </c>
    </row>
    <row r="8" spans="1:19">
      <c r="A8" s="250" t="s">
        <v>29</v>
      </c>
      <c r="B8" s="251"/>
      <c r="C8" s="252"/>
      <c r="D8" s="184">
        <f>'Front End'!D18</f>
        <v>7.7310995231725951E-2</v>
      </c>
      <c r="E8" s="185">
        <f>CURRYLD(coupon,par,'Front End'!D17)</f>
        <v>7.7310994267463684E-2</v>
      </c>
      <c r="H8" s="230"/>
      <c r="I8" s="167">
        <f t="shared" si="2"/>
        <v>2.5000000000000001E-2</v>
      </c>
      <c r="J8" s="9">
        <v>105.39856729157141</v>
      </c>
      <c r="K8" s="9">
        <v>110.66465945222635</v>
      </c>
      <c r="L8" s="9">
        <v>115.80152728154985</v>
      </c>
      <c r="M8" s="9">
        <v>120.81234180794378</v>
      </c>
      <c r="N8" s="9">
        <v>125.70019624612713</v>
      </c>
      <c r="O8" s="9">
        <v>130.46810790660169</v>
      </c>
      <c r="P8" s="9">
        <v>135.11902005826107</v>
      </c>
      <c r="Q8" s="54">
        <v>139.65580374529355</v>
      </c>
      <c r="R8" s="54">
        <v>144.08125955949987</v>
      </c>
      <c r="S8" s="150">
        <v>148.39811936912042</v>
      </c>
    </row>
    <row r="9" spans="1:19">
      <c r="A9" s="250" t="s">
        <v>30</v>
      </c>
      <c r="B9" s="251"/>
      <c r="C9" s="252"/>
      <c r="D9" s="186">
        <f>D44/C44*1/2</f>
        <v>3.5109518744765023</v>
      </c>
      <c r="E9" s="187">
        <f>DURATION(Settlement_Date,Maturity_Date,coupon,'Front End'!D19,freq)</f>
        <v>3.5109518744765023</v>
      </c>
      <c r="H9" s="230"/>
      <c r="I9" s="167">
        <f t="shared" si="2"/>
        <v>3.0000000000000002E-2</v>
      </c>
      <c r="J9" s="9">
        <v>104.88970855881</v>
      </c>
      <c r="K9" s="9">
        <v>109.63596161887939</v>
      </c>
      <c r="L9" s="9">
        <v>114.2429679136882</v>
      </c>
      <c r="M9" s="9">
        <v>118.7148126998357</v>
      </c>
      <c r="N9" s="9">
        <v>123.05546137963623</v>
      </c>
      <c r="O9" s="9">
        <v>127.26876301743431</v>
      </c>
      <c r="P9" s="9">
        <v>131.35845375275727</v>
      </c>
      <c r="Q9" s="54">
        <v>135.32816011333185</v>
      </c>
      <c r="R9" s="54">
        <v>139.18140223090285</v>
      </c>
      <c r="S9" s="150">
        <v>142.92159696270514</v>
      </c>
    </row>
    <row r="10" spans="1:19">
      <c r="A10" s="250" t="s">
        <v>31</v>
      </c>
      <c r="B10" s="251"/>
      <c r="C10" s="252"/>
      <c r="D10" s="186">
        <f>D9/(1+'Front End'!D19/2)</f>
        <v>3.3924163691213063</v>
      </c>
      <c r="E10" s="187">
        <f>MDURATION(Settlement_Date,Maturity_Date,coupon,'Front End'!D19,freq)</f>
        <v>3.3924163691213063</v>
      </c>
      <c r="H10" s="230"/>
      <c r="I10" s="167">
        <f t="shared" si="2"/>
        <v>3.5000000000000003E-2</v>
      </c>
      <c r="J10" s="9">
        <v>104.38457219784</v>
      </c>
      <c r="K10" s="9">
        <v>108.6196207140061</v>
      </c>
      <c r="L10" s="9">
        <v>112.71024463921287</v>
      </c>
      <c r="M10" s="9">
        <v>116.66136917381969</v>
      </c>
      <c r="N10" s="9">
        <v>120.4777515578793</v>
      </c>
      <c r="O10" s="9">
        <v>124.16398679895855</v>
      </c>
      <c r="P10" s="9">
        <v>127.72451320462764</v>
      </c>
      <c r="Q10" s="54">
        <v>131.1636177262792</v>
      </c>
      <c r="R10" s="54">
        <v>134.48544112071107</v>
      </c>
      <c r="S10" s="150">
        <v>137.69398293568793</v>
      </c>
    </row>
    <row r="11" spans="1:19">
      <c r="A11" s="250" t="s">
        <v>32</v>
      </c>
      <c r="B11" s="251"/>
      <c r="C11" s="252"/>
      <c r="D11" s="188">
        <f>C44-E44</f>
        <v>3.5096814205274995E-2</v>
      </c>
      <c r="E11" s="200">
        <f>PVBP('Front End'!D19,INT(Maturity_Date-Settlement_Date)/365,freq,coupon*par,par,0)</f>
        <v>3.511810302734375E-2</v>
      </c>
      <c r="H11" s="230"/>
      <c r="I11" s="167">
        <f t="shared" si="2"/>
        <v>0.04</v>
      </c>
      <c r="J11" s="9">
        <v>103.88312187620147</v>
      </c>
      <c r="K11" s="9">
        <v>107.61545739734858</v>
      </c>
      <c r="L11" s="9">
        <v>111.20286178138079</v>
      </c>
      <c r="M11" s="9">
        <v>114.65096288098886</v>
      </c>
      <c r="N11" s="9">
        <v>117.96517001248449</v>
      </c>
      <c r="O11" s="9">
        <v>121.15068244183436</v>
      </c>
      <c r="P11" s="9">
        <v>124.21249754117106</v>
      </c>
      <c r="Q11" s="54">
        <v>127.15541862857657</v>
      </c>
      <c r="R11" s="54">
        <v>129.98406250343768</v>
      </c>
      <c r="S11" s="150">
        <v>132.70286668919425</v>
      </c>
    </row>
    <row r="12" spans="1:19">
      <c r="A12" s="250" t="s">
        <v>33</v>
      </c>
      <c r="B12" s="251"/>
      <c r="C12" s="252"/>
      <c r="D12" s="189">
        <f>F44</f>
        <v>5831.4941438922961</v>
      </c>
      <c r="E12" s="190" t="s">
        <v>34</v>
      </c>
      <c r="H12" s="230"/>
      <c r="I12" s="167">
        <f t="shared" si="2"/>
        <v>4.4999999999999998E-2</v>
      </c>
      <c r="J12" s="9">
        <v>103.38532170419833</v>
      </c>
      <c r="K12" s="9">
        <v>106.62329536929919</v>
      </c>
      <c r="L12" s="9">
        <v>109.72033440192173</v>
      </c>
      <c r="M12" s="9">
        <v>112.68257306154005</v>
      </c>
      <c r="N12" s="9">
        <v>115.51587861052008</v>
      </c>
      <c r="O12" s="9">
        <v>118.2258629353197</v>
      </c>
      <c r="P12" s="9">
        <v>120.81789366186926</v>
      </c>
      <c r="Q12" s="54">
        <v>123.2971047871491</v>
      </c>
      <c r="R12" s="54">
        <v>125.66840684802133</v>
      </c>
      <c r="S12" s="150">
        <v>127.93649664745797</v>
      </c>
    </row>
    <row r="13" spans="1:19">
      <c r="A13" s="250" t="s">
        <v>35</v>
      </c>
      <c r="B13" s="251"/>
      <c r="C13" s="252"/>
      <c r="D13" s="191">
        <f>D12/C44</f>
        <v>56.354826994036884</v>
      </c>
      <c r="E13" s="190" t="s">
        <v>34</v>
      </c>
      <c r="H13" s="230"/>
      <c r="I13" s="167">
        <f t="shared" si="2"/>
        <v>4.9999999999999996E-2</v>
      </c>
      <c r="J13" s="9">
        <v>102.89113622843546</v>
      </c>
      <c r="K13" s="9">
        <v>105.64296131201473</v>
      </c>
      <c r="L13" s="9">
        <v>108.26218804236977</v>
      </c>
      <c r="M13" s="9">
        <v>110.75520575121455</v>
      </c>
      <c r="N13" s="9">
        <v>113.12809589645646</v>
      </c>
      <c r="O13" s="9">
        <v>115.38664689728159</v>
      </c>
      <c r="P13" s="9">
        <v>117.53636825440248</v>
      </c>
      <c r="Q13" s="54">
        <v>119.58250398991314</v>
      </c>
      <c r="R13" s="54">
        <v>121.53004543953659</v>
      </c>
      <c r="S13" s="150">
        <v>123.38374342847031</v>
      </c>
    </row>
    <row r="14" spans="1:19" ht="14" thickBot="1">
      <c r="A14" s="253" t="s">
        <v>36</v>
      </c>
      <c r="B14" s="254"/>
      <c r="C14" s="255"/>
      <c r="D14" s="192">
        <f>D13/(freq)^2</f>
        <v>14.088706748509221</v>
      </c>
      <c r="E14" s="193" t="s">
        <v>34</v>
      </c>
      <c r="H14" s="230"/>
      <c r="I14" s="167">
        <f t="shared" si="2"/>
        <v>5.4999999999999993E-2</v>
      </c>
      <c r="J14" s="9">
        <v>102.40053042546513</v>
      </c>
      <c r="K14" s="9">
        <v>104.67428483181145</v>
      </c>
      <c r="L14" s="9">
        <v>106.82795847224341</v>
      </c>
      <c r="M14" s="9">
        <v>108.86789301246705</v>
      </c>
      <c r="N14" s="9">
        <v>110.80009520423584</v>
      </c>
      <c r="O14" s="9">
        <v>112.63025457271586</v>
      </c>
      <c r="P14" s="9">
        <v>114.36376016975115</v>
      </c>
      <c r="Q14" s="54">
        <v>116.00571644236172</v>
      </c>
      <c r="R14" s="54">
        <v>117.5609582631992</v>
      </c>
      <c r="S14" s="150">
        <v>119.03406516721941</v>
      </c>
    </row>
    <row r="15" spans="1:19" ht="14" thickBot="1">
      <c r="H15" s="230"/>
      <c r="I15" s="167">
        <f t="shared" si="2"/>
        <v>5.9999999999999991E-2</v>
      </c>
      <c r="J15" s="9">
        <v>101.91346969554152</v>
      </c>
      <c r="K15" s="9">
        <v>103.71709840281036</v>
      </c>
      <c r="L15" s="9">
        <v>105.4171914438782</v>
      </c>
      <c r="M15" s="9">
        <v>107.01969218953548</v>
      </c>
      <c r="N15" s="9">
        <v>108.53020283677583</v>
      </c>
      <c r="O15" s="9">
        <v>109.9540039935676</v>
      </c>
      <c r="P15" s="9">
        <v>111.29607313937937</v>
      </c>
      <c r="Q15" s="9">
        <v>112.56110202599622</v>
      </c>
      <c r="R15" s="9">
        <v>113.75351307945726</v>
      </c>
      <c r="S15" s="195">
        <v>114.87747486045554</v>
      </c>
    </row>
    <row r="16" spans="1:19" ht="14" thickBot="1">
      <c r="C16" s="14" t="s">
        <v>69</v>
      </c>
      <c r="D16" s="15">
        <f>YIELD(Settlement_Date,Maturity_Date,coupon,'Bond Pricing'!D6,par,freq)</f>
        <v>6.9882639663066098E-2</v>
      </c>
      <c r="F16" s="16"/>
      <c r="H16" s="230"/>
      <c r="I16" s="167">
        <f t="shared" si="2"/>
        <v>6.4999999999999988E-2</v>
      </c>
      <c r="J16" s="9">
        <v>101.42991985648037</v>
      </c>
      <c r="K16" s="9">
        <v>102.77123731180262</v>
      </c>
      <c r="L16" s="9">
        <v>104.02944245371914</v>
      </c>
      <c r="M16" s="9">
        <v>105.20968518661107</v>
      </c>
      <c r="N16" s="9">
        <v>106.3167963103364</v>
      </c>
      <c r="O16" s="9">
        <v>107.35530729296545</v>
      </c>
      <c r="P16" s="9">
        <v>108.32946881833438</v>
      </c>
      <c r="Q16" s="54">
        <v>109.24326818433302</v>
      </c>
      <c r="R16" s="54">
        <v>110.10044562313951</v>
      </c>
      <c r="S16" s="150">
        <v>110.90450961020071</v>
      </c>
    </row>
    <row r="17" spans="1:19" ht="14" thickBot="1">
      <c r="F17" s="16"/>
      <c r="H17" s="230"/>
      <c r="I17" s="167">
        <f t="shared" si="2"/>
        <v>6.9999999999999993E-2</v>
      </c>
      <c r="J17" s="9">
        <v>100.94984713762283</v>
      </c>
      <c r="K17" s="9">
        <v>101.83653960430614</v>
      </c>
      <c r="L17" s="9">
        <v>102.66427650988928</v>
      </c>
      <c r="M17" s="9">
        <v>103.43697776833935</v>
      </c>
      <c r="N17" s="9">
        <v>104.15830266128904</v>
      </c>
      <c r="O17" s="9">
        <v>104.83166716729824</v>
      </c>
      <c r="P17" s="9">
        <v>105.46026013890476</v>
      </c>
      <c r="Q17" s="54">
        <v>106.04705840407458</v>
      </c>
      <c r="R17" s="54">
        <v>106.59484086356703</v>
      </c>
      <c r="S17" s="150">
        <v>107.10620165097626</v>
      </c>
    </row>
    <row r="18" spans="1:19">
      <c r="A18" s="256" t="s">
        <v>37</v>
      </c>
      <c r="B18" s="239"/>
      <c r="C18" s="238" t="s">
        <v>38</v>
      </c>
      <c r="D18" s="239"/>
      <c r="E18" s="17" t="s">
        <v>39</v>
      </c>
      <c r="F18" s="18" t="s">
        <v>40</v>
      </c>
      <c r="H18" s="230"/>
      <c r="I18" s="167">
        <f t="shared" si="2"/>
        <v>7.4999999999999997E-2</v>
      </c>
      <c r="J18" s="9">
        <v>100.47321817390039</v>
      </c>
      <c r="K18" s="9">
        <v>100.91284603178434</v>
      </c>
      <c r="L18" s="9">
        <v>101.32126790585276</v>
      </c>
      <c r="M18" s="9">
        <v>101.70069888190703</v>
      </c>
      <c r="N18" s="9">
        <v>102.05319681291984</v>
      </c>
      <c r="O18" s="9">
        <v>102.38067347985002</v>
      </c>
      <c r="P18" s="9">
        <v>102.68490496023225</v>
      </c>
      <c r="Q18" s="54">
        <v>102.96754126077604</v>
      </c>
      <c r="R18" s="54">
        <v>103.23011526621667</v>
      </c>
      <c r="S18" s="150">
        <v>103.47405105295202</v>
      </c>
    </row>
    <row r="19" spans="1:19">
      <c r="A19" s="19"/>
      <c r="B19" s="20"/>
      <c r="C19" s="21"/>
      <c r="D19" s="20"/>
      <c r="E19" s="22" t="s">
        <v>41</v>
      </c>
      <c r="F19" s="23" t="s">
        <v>42</v>
      </c>
      <c r="H19" s="230"/>
      <c r="I19" s="167">
        <f t="shared" si="2"/>
        <v>0.08</v>
      </c>
      <c r="J19" s="9">
        <v>99.999999999999986</v>
      </c>
      <c r="K19" s="9">
        <v>99.999999999999986</v>
      </c>
      <c r="L19" s="9">
        <v>99.999999999999972</v>
      </c>
      <c r="M19" s="9">
        <v>99.999999999999972</v>
      </c>
      <c r="N19" s="9">
        <v>99.999999999999972</v>
      </c>
      <c r="O19" s="9">
        <v>99.999999999999957</v>
      </c>
      <c r="P19" s="9">
        <v>99.999999999999957</v>
      </c>
      <c r="Q19" s="54">
        <v>99.999999999999943</v>
      </c>
      <c r="R19" s="54">
        <v>99.999999999999943</v>
      </c>
      <c r="S19" s="150">
        <v>99.999999999999943</v>
      </c>
    </row>
    <row r="20" spans="1:19">
      <c r="A20" s="24"/>
      <c r="B20" s="25"/>
      <c r="C20" s="26"/>
      <c r="D20" s="27" t="s">
        <v>43</v>
      </c>
      <c r="E20" s="22" t="s">
        <v>44</v>
      </c>
      <c r="F20" s="28"/>
      <c r="H20" s="230"/>
      <c r="I20" s="167">
        <f t="shared" si="2"/>
        <v>8.5000000000000006E-2</v>
      </c>
      <c r="J20" s="9">
        <v>99.530160044626172</v>
      </c>
      <c r="K20" s="9">
        <v>99.097847518475518</v>
      </c>
      <c r="L20" s="9">
        <v>98.700065000983869</v>
      </c>
      <c r="M20" s="9">
        <v>98.334054483937564</v>
      </c>
      <c r="N20" s="9">
        <v>97.997278248940489</v>
      </c>
      <c r="O20" s="9">
        <v>97.687401272251137</v>
      </c>
      <c r="P20" s="9">
        <v>97.402275034994631</v>
      </c>
      <c r="Q20" s="54">
        <v>97.139922626498176</v>
      </c>
      <c r="R20" s="54">
        <v>96.898525037464765</v>
      </c>
      <c r="S20" s="150">
        <v>96.676408547949336</v>
      </c>
    </row>
    <row r="21" spans="1:19">
      <c r="A21" s="24"/>
      <c r="B21" s="8"/>
      <c r="C21" s="29" t="s">
        <v>45</v>
      </c>
      <c r="D21" s="30" t="s">
        <v>45</v>
      </c>
      <c r="E21" s="31" t="s">
        <v>46</v>
      </c>
      <c r="F21" s="28"/>
      <c r="H21" s="230"/>
      <c r="I21" s="167">
        <f t="shared" si="2"/>
        <v>9.0000000000000011E-2</v>
      </c>
      <c r="J21" s="9">
        <v>99.063666124859793</v>
      </c>
      <c r="K21" s="9">
        <v>98.206237151035751</v>
      </c>
      <c r="L21" s="9">
        <v>97.421063758646355</v>
      </c>
      <c r="M21" s="9">
        <v>96.702056966320725</v>
      </c>
      <c r="N21" s="9">
        <v>96.04364091144501</v>
      </c>
      <c r="O21" s="9">
        <v>95.440709609619773</v>
      </c>
      <c r="P21" s="9">
        <v>94.888587357999853</v>
      </c>
      <c r="Q21" s="54">
        <v>94.382992475446883</v>
      </c>
      <c r="R21" s="54">
        <v>93.92000409830078</v>
      </c>
      <c r="S21" s="150">
        <v>93.496031774273291</v>
      </c>
    </row>
    <row r="22" spans="1:19">
      <c r="A22" s="32"/>
      <c r="B22" s="30" t="s">
        <v>47</v>
      </c>
      <c r="C22" s="29" t="s">
        <v>48</v>
      </c>
      <c r="D22" s="30" t="s">
        <v>48</v>
      </c>
      <c r="E22" s="33" t="s">
        <v>45</v>
      </c>
      <c r="F22" s="34"/>
      <c r="H22" s="230"/>
      <c r="I22" s="167">
        <f t="shared" si="2"/>
        <v>9.5000000000000015E-2</v>
      </c>
      <c r="J22" s="9">
        <v>98.600486440610368</v>
      </c>
      <c r="K22" s="9">
        <v>97.325019967405368</v>
      </c>
      <c r="L22" s="9">
        <v>96.162605560374203</v>
      </c>
      <c r="M22" s="9">
        <v>95.103222752546799</v>
      </c>
      <c r="N22" s="9">
        <v>94.137739249648192</v>
      </c>
      <c r="O22" s="9">
        <v>93.25783220614889</v>
      </c>
      <c r="P22" s="9">
        <v>92.455916479080315</v>
      </c>
      <c r="Q22" s="54">
        <v>91.725079241134694</v>
      </c>
      <c r="R22" s="54">
        <v>91.059020389389133</v>
      </c>
      <c r="S22" s="150">
        <v>90.451998235953653</v>
      </c>
    </row>
    <row r="23" spans="1:19">
      <c r="A23" s="32" t="s">
        <v>49</v>
      </c>
      <c r="B23" s="29" t="s">
        <v>50</v>
      </c>
      <c r="C23" s="29" t="s">
        <v>50</v>
      </c>
      <c r="D23" s="30" t="s">
        <v>50</v>
      </c>
      <c r="E23" s="33" t="s">
        <v>51</v>
      </c>
      <c r="F23" s="35"/>
      <c r="H23" s="230"/>
      <c r="I23" s="167">
        <f t="shared" si="2"/>
        <v>0.10000000000000002</v>
      </c>
      <c r="J23" s="9">
        <v>98.140589569160994</v>
      </c>
      <c r="K23" s="9">
        <v>96.454049495837637</v>
      </c>
      <c r="L23" s="9">
        <v>94.92430793273256</v>
      </c>
      <c r="M23" s="9">
        <v>93.536787240573744</v>
      </c>
      <c r="N23" s="9">
        <v>92.278265070815181</v>
      </c>
      <c r="O23" s="9">
        <v>91.136748363551192</v>
      </c>
      <c r="P23" s="9">
        <v>90.101359059910379</v>
      </c>
      <c r="Q23" s="54">
        <v>89.162230439827994</v>
      </c>
      <c r="R23" s="54">
        <v>88.310413097349652</v>
      </c>
      <c r="S23" s="150">
        <v>87.537789657459996</v>
      </c>
    </row>
    <row r="24" spans="1:19">
      <c r="A24" s="180">
        <v>1</v>
      </c>
      <c r="B24" s="10">
        <f t="shared" ref="B24:B43" si="3">IF(A24&lt;COUPNUM(Settlement_Date,Maturity_Date,freq),(coupon*par/freq),IF(A24=COUPNUM(Settlement_Date,Maturity_Date,freq),(coupon*par/freq)+par,""))</f>
        <v>4</v>
      </c>
      <c r="C24" s="36">
        <f>IF(B24&lt;&gt;"",B24/(1+'Front End'!$D$19/2)^'Bond Pricing'!A24,"")</f>
        <v>3.8649534262011267</v>
      </c>
      <c r="D24" s="36">
        <f>IF(B24&lt;&gt;"",A24*C24,"")</f>
        <v>3.8649534262011267</v>
      </c>
      <c r="E24" s="36">
        <f>IF(B24&lt;&gt;"",B24/(1+('Front End'!$D$19+0.0001)/2)^A24,"")</f>
        <v>3.864766711909319</v>
      </c>
      <c r="F24" s="37">
        <f>IF(B24&lt;&gt;"",(1/(1+'Front End'!$D$19/2)^('Bond Pricing'!A24+2))*A24*(A24+1)*B24,"")</f>
        <v>7.2167690575613506</v>
      </c>
      <c r="H24" s="230"/>
      <c r="I24" s="167">
        <f t="shared" si="2"/>
        <v>0.10500000000000002</v>
      </c>
      <c r="J24" s="9">
        <v>97.683944459803314</v>
      </c>
      <c r="K24" s="9">
        <v>95.593181676748216</v>
      </c>
      <c r="L24" s="9">
        <v>93.705796448224262</v>
      </c>
      <c r="M24" s="9">
        <v>92.002005358330635</v>
      </c>
      <c r="N24" s="9">
        <v>90.463949409746647</v>
      </c>
      <c r="O24" s="9">
        <v>89.075506827198353</v>
      </c>
      <c r="P24" s="9">
        <v>87.822124070343406</v>
      </c>
      <c r="Q24" s="54">
        <v>86.690663284764497</v>
      </c>
      <c r="R24" s="54">
        <v>85.66926459206573</v>
      </c>
      <c r="S24" s="150">
        <v>84.747221775607883</v>
      </c>
    </row>
    <row r="25" spans="1:19">
      <c r="A25" s="180">
        <v>2</v>
      </c>
      <c r="B25" s="10">
        <f t="shared" si="3"/>
        <v>4</v>
      </c>
      <c r="C25" s="36">
        <f>IF(B25&lt;&gt;"",B25/(1+'Front End'!$D$19/2)^'Bond Pricing'!A25,"")</f>
        <v>3.7344662466759564</v>
      </c>
      <c r="D25" s="38">
        <f t="shared" ref="D25:D43" si="4">IF(B25&lt;&gt;"",A25*C25,"")</f>
        <v>7.4689324933519128</v>
      </c>
      <c r="E25" s="36">
        <f>IF(B25&lt;&gt;"",B25/(1+('Front End'!$D$19+0.0001)/2)^A25,"")</f>
        <v>3.7341054343705919</v>
      </c>
      <c r="F25" s="37">
        <f>IF(B25&lt;&gt;"",(1/(1+'Front End'!$D$19/2)^('Bond Pricing'!A25+2))*A25*(A25+1)*B25,"")</f>
        <v>20.919357221343009</v>
      </c>
      <c r="H25" s="230"/>
      <c r="I25" s="167">
        <f t="shared" si="2"/>
        <v>0.11000000000000003</v>
      </c>
      <c r="J25" s="9">
        <v>97.230520428561803</v>
      </c>
      <c r="K25" s="9">
        <v>94.74227481733277</v>
      </c>
      <c r="L25" s="9">
        <v>92.506704537034466</v>
      </c>
      <c r="M25" s="9">
        <v>90.498151018202165</v>
      </c>
      <c r="N25" s="9">
        <v>88.693561257116571</v>
      </c>
      <c r="O25" s="9">
        <v>87.072223226896597</v>
      </c>
      <c r="P25" s="9">
        <v>85.615528156956572</v>
      </c>
      <c r="Q25" s="54">
        <v>84.30675695241041</v>
      </c>
      <c r="R25" s="54">
        <v>83.130888302069053</v>
      </c>
      <c r="S25" s="150">
        <v>82.074426272607582</v>
      </c>
    </row>
    <row r="26" spans="1:19">
      <c r="A26" s="180">
        <v>3</v>
      </c>
      <c r="B26" s="10">
        <f t="shared" si="3"/>
        <v>4</v>
      </c>
      <c r="C26" s="36">
        <f>IF(B26&lt;&gt;"",B26/(1+'Front End'!$D$19/2)^'Bond Pricing'!A26,"")</f>
        <v>3.6083845287806753</v>
      </c>
      <c r="D26" s="38">
        <f t="shared" si="4"/>
        <v>10.825153586342026</v>
      </c>
      <c r="E26" s="36">
        <f>IF(B26&lt;&gt;"",B26/(1+('Front End'!$D$19+0.0001)/2)^A26,"")</f>
        <v>3.6078615953787874</v>
      </c>
      <c r="F26" s="37">
        <f>IF(B26&lt;&gt;"",(1/(1+'Front End'!$D$19/2)^('Bond Pricing'!A26+2))*A26*(A26+1)*B26,"")</f>
        <v>40.426170683277476</v>
      </c>
      <c r="H26" s="230"/>
      <c r="I26" s="167">
        <f t="shared" si="2"/>
        <v>0.11500000000000003</v>
      </c>
      <c r="J26" s="9">
        <v>96.780287153004792</v>
      </c>
      <c r="K26" s="9">
        <v>93.901189547143076</v>
      </c>
      <c r="L26" s="9">
        <v>91.326673303617014</v>
      </c>
      <c r="M26" s="9">
        <v>89.024516588024966</v>
      </c>
      <c r="N26" s="9">
        <v>86.965906332031082</v>
      </c>
      <c r="O26" s="9">
        <v>85.125077618077398</v>
      </c>
      <c r="P26" s="9">
        <v>83.478991213790835</v>
      </c>
      <c r="Q26" s="54">
        <v>82.007045220207601</v>
      </c>
      <c r="R26" s="54">
        <v>80.690817224894857</v>
      </c>
      <c r="S26" s="150">
        <v>79.513833732839146</v>
      </c>
    </row>
    <row r="27" spans="1:19">
      <c r="A27" s="180">
        <v>4</v>
      </c>
      <c r="B27" s="10">
        <f t="shared" si="3"/>
        <v>4</v>
      </c>
      <c r="C27" s="36">
        <f>IF(B27&lt;&gt;"",B27/(1+'Front End'!$D$19/2)^'Bond Pricing'!A27,"")</f>
        <v>3.4865595368905016</v>
      </c>
      <c r="D27" s="38">
        <f t="shared" si="4"/>
        <v>13.946238147562006</v>
      </c>
      <c r="E27" s="36">
        <f>IF(B27&lt;&gt;"",B27/(1+('Front End'!$D$19+0.0001)/2)^A27,"")</f>
        <v>3.4858858487489965</v>
      </c>
      <c r="F27" s="37">
        <f>IF(B27&lt;&gt;"",(1/(1+'Front End'!$D$19/2)^('Bond Pricing'!A27+2))*A27*(A27+1)*B27,"")</f>
        <v>65.10219453771866</v>
      </c>
      <c r="H27" s="230"/>
      <c r="I27" s="167">
        <f t="shared" si="2"/>
        <v>0.12000000000000004</v>
      </c>
      <c r="J27" s="9">
        <v>96.33321466714132</v>
      </c>
      <c r="K27" s="9">
        <v>93.069788774600667</v>
      </c>
      <c r="L27" s="9">
        <v>90.165351347989187</v>
      </c>
      <c r="M27" s="9">
        <v>87.580412378060856</v>
      </c>
      <c r="N27" s="9">
        <v>85.279825897170554</v>
      </c>
      <c r="O27" s="9">
        <v>83.232312119233313</v>
      </c>
      <c r="P27" s="9">
        <v>81.410032145989049</v>
      </c>
      <c r="Q27" s="54">
        <v>79.788209457092421</v>
      </c>
      <c r="R27" s="54">
        <v>78.344793037640102</v>
      </c>
      <c r="S27" s="150">
        <v>77.060157562869421</v>
      </c>
    </row>
    <row r="28" spans="1:19">
      <c r="A28" s="180">
        <v>5</v>
      </c>
      <c r="B28" s="10">
        <f t="shared" si="3"/>
        <v>4</v>
      </c>
      <c r="C28" s="36">
        <f>IF(B28&lt;&gt;"",B28/(1+'Front End'!$D$19/2)^'Bond Pricing'!A28,"")</f>
        <v>3.3688475569397895</v>
      </c>
      <c r="D28" s="38">
        <f t="shared" si="4"/>
        <v>16.844237784698947</v>
      </c>
      <c r="E28" s="36">
        <f>IF(B28&lt;&gt;"",B28/(1+('Front End'!$D$19+0.0001)/2)^A28,"")</f>
        <v>3.3680338974402209</v>
      </c>
      <c r="F28" s="37">
        <f>IF(B28&lt;&gt;"",(1/(1+'Front End'!$D$19/2)^('Bond Pricing'!A28+2))*A28*(A28+1)*B28,"")</f>
        <v>94.356356186913004</v>
      </c>
      <c r="H28" s="230"/>
      <c r="I28" s="167">
        <f t="shared" si="2"/>
        <v>0.12500000000000003</v>
      </c>
      <c r="J28" s="9">
        <v>95.889273356401375</v>
      </c>
      <c r="K28" s="9">
        <v>92.247937644424752</v>
      </c>
      <c r="L28" s="9">
        <v>89.02239459160117</v>
      </c>
      <c r="M28" s="9">
        <v>86.165166143425253</v>
      </c>
      <c r="N28" s="9">
        <v>83.634195614937255</v>
      </c>
      <c r="O28" s="9">
        <v>81.392228641605314</v>
      </c>
      <c r="P28" s="9">
        <v>79.406264817477378</v>
      </c>
      <c r="Q28" s="54">
        <v>77.64707194904571</v>
      </c>
      <c r="R28" s="54">
        <v>76.088755774933219</v>
      </c>
      <c r="S28" s="150">
        <v>74.708378817933934</v>
      </c>
    </row>
    <row r="29" spans="1:19" ht="14" thickBot="1">
      <c r="A29" s="180">
        <v>6</v>
      </c>
      <c r="B29" s="10">
        <f t="shared" si="3"/>
        <v>4</v>
      </c>
      <c r="C29" s="36">
        <f>IF(B29&lt;&gt;"",B29/(1+'Front End'!$D$19/2)^'Bond Pricing'!A29,"")</f>
        <v>3.2551097268859333</v>
      </c>
      <c r="D29" s="38">
        <f t="shared" si="4"/>
        <v>19.530658361315599</v>
      </c>
      <c r="E29" s="36">
        <f>IF(B29&lt;&gt;"",B29/(1+('Front End'!$D$19+0.0001)/2)^A29,"")</f>
        <v>3.2541663228522926</v>
      </c>
      <c r="F29" s="37">
        <f>IF(B29&lt;&gt;"",(1/(1+'Front End'!$D$19/2)^('Bond Pricing'!A29+2))*A29*(A29+1)*B29,"")</f>
        <v>127.63902274496212</v>
      </c>
      <c r="H29" s="231"/>
      <c r="I29" s="168">
        <f t="shared" si="2"/>
        <v>0.13000000000000003</v>
      </c>
      <c r="J29" s="11">
        <v>95.448433952698991</v>
      </c>
      <c r="K29" s="11">
        <v>91.435503495954507</v>
      </c>
      <c r="L29" s="11">
        <v>87.897466107654594</v>
      </c>
      <c r="M29" s="11">
        <v>84.77812260147202</v>
      </c>
      <c r="N29" s="11">
        <v>82.027924443097305</v>
      </c>
      <c r="O29" s="11">
        <v>79.603186707308794</v>
      </c>
      <c r="P29" s="11">
        <v>77.465394174267715</v>
      </c>
      <c r="Q29" s="154">
        <v>75.580589542875302</v>
      </c>
      <c r="R29" s="154">
        <v>73.918834043399954</v>
      </c>
      <c r="S29" s="156">
        <v>72.453731881593129</v>
      </c>
    </row>
    <row r="30" spans="1:19">
      <c r="A30" s="180">
        <v>7</v>
      </c>
      <c r="B30" s="10">
        <f t="shared" si="3"/>
        <v>4</v>
      </c>
      <c r="C30" s="36">
        <f>IF(B30&lt;&gt;"",B30/(1+'Front End'!$D$19/2)^'Bond Pricing'!A30,"")</f>
        <v>3.1452118728971001</v>
      </c>
      <c r="D30" s="38">
        <f t="shared" si="4"/>
        <v>22.016483110279701</v>
      </c>
      <c r="E30" s="36">
        <f>IF(B30&lt;&gt;"",B30/(1+('Front End'!$D$19+0.0001)/2)^A30,"")</f>
        <v>3.1441484198939733</v>
      </c>
      <c r="F30" s="37">
        <f>IF(B30&lt;&gt;"",(1/(1+'Front End'!$D$19/2)^('Bond Pricing'!A30+2))*A30*(A30+1)*B30,"")</f>
        <v>164.43962609170163</v>
      </c>
    </row>
    <row r="31" spans="1:19">
      <c r="A31" s="180">
        <v>8</v>
      </c>
      <c r="B31" s="10">
        <f t="shared" si="3"/>
        <v>104</v>
      </c>
      <c r="C31" s="36">
        <f>IF(B31&lt;&gt;"",B31/(1+'Front End'!$D$19/2)^'Bond Pricing'!A31,"")</f>
        <v>79.014633127833704</v>
      </c>
      <c r="D31" s="38">
        <f t="shared" si="4"/>
        <v>632.11706502266964</v>
      </c>
      <c r="E31" s="36">
        <f>IF(B31&lt;&gt;"",B31/(1+('Front End'!$D$19+0.0001)/2)^A31,"")</f>
        <v>78.984100978305335</v>
      </c>
      <c r="F31" s="37">
        <f>IF(B31&lt;&gt;"",(1/(1+'Front End'!$D$19/2)^('Bond Pricing'!A31+2))*A31*(A31+1)*B31,"")</f>
        <v>5311.3946473688193</v>
      </c>
    </row>
    <row r="32" spans="1:19">
      <c r="A32" s="180">
        <v>9</v>
      </c>
      <c r="B32" s="10" t="str">
        <f t="shared" si="3"/>
        <v/>
      </c>
      <c r="C32" s="36" t="str">
        <f>IF(B32&lt;&gt;"",B32/(1+'Front End'!$D$19/2)^'Bond Pricing'!A32,"")</f>
        <v/>
      </c>
      <c r="D32" s="38" t="str">
        <f t="shared" si="4"/>
        <v/>
      </c>
      <c r="E32" s="36" t="str">
        <f>IF(B32&lt;&gt;"",B32/(1+('Front End'!$D$19+0.0001)/2)^A32,"")</f>
        <v/>
      </c>
      <c r="F32" s="37" t="str">
        <f>IF(B32&lt;&gt;"",(1/(1+'Front End'!$D$19/2)^('Bond Pricing'!A32+2))*A32*(A32+1)*B32,"")</f>
        <v/>
      </c>
    </row>
    <row r="33" spans="1:6">
      <c r="A33" s="180">
        <v>10</v>
      </c>
      <c r="B33" s="10" t="str">
        <f t="shared" si="3"/>
        <v/>
      </c>
      <c r="C33" s="36" t="str">
        <f>IF(B33&lt;&gt;"",B33/(1+'Front End'!$D$19/2)^'Bond Pricing'!A33,"")</f>
        <v/>
      </c>
      <c r="D33" s="38" t="str">
        <f t="shared" si="4"/>
        <v/>
      </c>
      <c r="E33" s="36" t="str">
        <f>IF(B33&lt;&gt;"",B33/(1+('Front End'!$D$19+0.0001)/2)^A33,"")</f>
        <v/>
      </c>
      <c r="F33" s="37" t="str">
        <f>IF(B33&lt;&gt;"",(1/(1+'Front End'!$D$19/2)^('Bond Pricing'!A33+2))*A33*(A33+1)*B33,"")</f>
        <v/>
      </c>
    </row>
    <row r="34" spans="1:6">
      <c r="A34" s="180">
        <v>11</v>
      </c>
      <c r="B34" s="10" t="str">
        <f t="shared" si="3"/>
        <v/>
      </c>
      <c r="C34" s="36" t="str">
        <f>IF(B34&lt;&gt;"",B34/(1+'Front End'!$D$19/2)^'Bond Pricing'!A34,"")</f>
        <v/>
      </c>
      <c r="D34" s="38" t="str">
        <f t="shared" si="4"/>
        <v/>
      </c>
      <c r="E34" s="36" t="str">
        <f>IF(B34&lt;&gt;"",B34/(1+('Front End'!$D$19+0.0001)/2)^A34,"")</f>
        <v/>
      </c>
      <c r="F34" s="37" t="str">
        <f>IF(B34&lt;&gt;"",(1/(1+'Front End'!$D$19/2)^('Bond Pricing'!A34+2))*A34*(A34+1)*B34,"")</f>
        <v/>
      </c>
    </row>
    <row r="35" spans="1:6">
      <c r="A35" s="180">
        <v>12</v>
      </c>
      <c r="B35" s="10" t="str">
        <f t="shared" si="3"/>
        <v/>
      </c>
      <c r="C35" s="36" t="str">
        <f>IF(B35&lt;&gt;"",B35/(1+'Front End'!$D$19/2)^'Bond Pricing'!A35,"")</f>
        <v/>
      </c>
      <c r="D35" s="38" t="str">
        <f t="shared" si="4"/>
        <v/>
      </c>
      <c r="E35" s="36" t="str">
        <f>IF(B35&lt;&gt;"",B35/(1+('Front End'!$D$19+0.0001)/2)^A35,"")</f>
        <v/>
      </c>
      <c r="F35" s="37" t="str">
        <f>IF(B35&lt;&gt;"",(1/(1+'Front End'!$D$19/2)^('Bond Pricing'!A35+2))*A35*(A35+1)*B35,"")</f>
        <v/>
      </c>
    </row>
    <row r="36" spans="1:6">
      <c r="A36" s="180">
        <v>13</v>
      </c>
      <c r="B36" s="10" t="str">
        <f t="shared" si="3"/>
        <v/>
      </c>
      <c r="C36" s="36" t="str">
        <f>IF(B36&lt;&gt;"",B36/(1+'Front End'!$D$19/2)^'Bond Pricing'!A36,"")</f>
        <v/>
      </c>
      <c r="D36" s="38" t="str">
        <f t="shared" si="4"/>
        <v/>
      </c>
      <c r="E36" s="36" t="str">
        <f>IF(B36&lt;&gt;"",B36/(1+('Front End'!$D$19+0.0001)/2)^A36,"")</f>
        <v/>
      </c>
      <c r="F36" s="37" t="str">
        <f>IF(B36&lt;&gt;"",(1/(1+'Front End'!$D$19/2)^('Bond Pricing'!A36+2))*A36*(A36+1)*B36,"")</f>
        <v/>
      </c>
    </row>
    <row r="37" spans="1:6">
      <c r="A37" s="180">
        <v>14</v>
      </c>
      <c r="B37" s="10" t="str">
        <f t="shared" si="3"/>
        <v/>
      </c>
      <c r="C37" s="36" t="str">
        <f>IF(B37&lt;&gt;"",B37/(1+'Front End'!$D$19/2)^'Bond Pricing'!A37,"")</f>
        <v/>
      </c>
      <c r="D37" s="38" t="str">
        <f t="shared" si="4"/>
        <v/>
      </c>
      <c r="E37" s="36" t="str">
        <f>IF(B37&lt;&gt;"",B37/(1+('Front End'!$D$19+0.0001)/2)^A37,"")</f>
        <v/>
      </c>
      <c r="F37" s="37" t="str">
        <f>IF(B37&lt;&gt;"",(1/(1+'Front End'!$D$19/2)^('Bond Pricing'!A37+2))*A37*(A37+1)*B37,"")</f>
        <v/>
      </c>
    </row>
    <row r="38" spans="1:6">
      <c r="A38" s="180">
        <v>15</v>
      </c>
      <c r="B38" s="10" t="str">
        <f t="shared" si="3"/>
        <v/>
      </c>
      <c r="C38" s="36" t="str">
        <f>IF(B38&lt;&gt;"",B38/(1+'Front End'!$D$19/2)^'Bond Pricing'!A38,"")</f>
        <v/>
      </c>
      <c r="D38" s="38" t="str">
        <f t="shared" si="4"/>
        <v/>
      </c>
      <c r="E38" s="36" t="str">
        <f>IF(B38&lt;&gt;"",B38/(1+('Front End'!$D$19+0.0001)/2)^A38,"")</f>
        <v/>
      </c>
      <c r="F38" s="37" t="str">
        <f>IF(B38&lt;&gt;"",(1/(1+'Front End'!$D$19/2)^('Bond Pricing'!A38+2))*A38*(A38+1)*B38,"")</f>
        <v/>
      </c>
    </row>
    <row r="39" spans="1:6">
      <c r="A39" s="180">
        <v>16</v>
      </c>
      <c r="B39" s="10" t="str">
        <f t="shared" si="3"/>
        <v/>
      </c>
      <c r="C39" s="36" t="str">
        <f>IF(B39&lt;&gt;"",B39/(1+'Front End'!$D$19/2)^'Bond Pricing'!A39,"")</f>
        <v/>
      </c>
      <c r="D39" s="38" t="str">
        <f t="shared" si="4"/>
        <v/>
      </c>
      <c r="E39" s="36" t="str">
        <f>IF(B39&lt;&gt;"",B39/(1+('Front End'!$D$19+0.0001)/2)^A39,"")</f>
        <v/>
      </c>
      <c r="F39" s="37" t="str">
        <f>IF(B39&lt;&gt;"",(1/(1+'Front End'!$D$19/2)^('Bond Pricing'!A39+2))*A39*(A39+1)*B39,"")</f>
        <v/>
      </c>
    </row>
    <row r="40" spans="1:6">
      <c r="A40" s="180">
        <v>17</v>
      </c>
      <c r="B40" s="10" t="str">
        <f t="shared" si="3"/>
        <v/>
      </c>
      <c r="C40" s="36" t="str">
        <f>IF(B40&lt;&gt;"",B40/(1+'Front End'!$D$19/2)^'Bond Pricing'!A40,"")</f>
        <v/>
      </c>
      <c r="D40" s="38" t="str">
        <f t="shared" si="4"/>
        <v/>
      </c>
      <c r="E40" s="36" t="str">
        <f>IF(B40&lt;&gt;"",B40/(1+('Front End'!$D$19+0.0001)/2)^A40,"")</f>
        <v/>
      </c>
      <c r="F40" s="37" t="str">
        <f>IF(B40&lt;&gt;"",(1/(1+'Front End'!$D$19/2)^('Bond Pricing'!A40+2))*A40*(A40+1)*B40,"")</f>
        <v/>
      </c>
    </row>
    <row r="41" spans="1:6">
      <c r="A41" s="180">
        <v>18</v>
      </c>
      <c r="B41" s="10" t="str">
        <f t="shared" si="3"/>
        <v/>
      </c>
      <c r="C41" s="36" t="str">
        <f>IF(B41&lt;&gt;"",B41/(1+'Front End'!$D$19/2)^'Bond Pricing'!A41,"")</f>
        <v/>
      </c>
      <c r="D41" s="38" t="str">
        <f t="shared" si="4"/>
        <v/>
      </c>
      <c r="E41" s="36" t="str">
        <f>IF(B41&lt;&gt;"",B41/(1+('Front End'!$D$19+0.0001)/2)^A41,"")</f>
        <v/>
      </c>
      <c r="F41" s="37" t="str">
        <f>IF(B41&lt;&gt;"",(1/(1+'Front End'!$D$19/2)^('Bond Pricing'!A41+2))*A41*(A41+1)*B41,"")</f>
        <v/>
      </c>
    </row>
    <row r="42" spans="1:6">
      <c r="A42" s="180">
        <v>19</v>
      </c>
      <c r="B42" s="10" t="str">
        <f t="shared" si="3"/>
        <v/>
      </c>
      <c r="C42" s="36" t="str">
        <f>IF(B42&lt;&gt;"",B42/(1+'Front End'!$D$19/2)^'Bond Pricing'!A42,"")</f>
        <v/>
      </c>
      <c r="D42" s="38" t="str">
        <f t="shared" si="4"/>
        <v/>
      </c>
      <c r="E42" s="36" t="str">
        <f>IF(B42&lt;&gt;"",B42/(1+('Front End'!$D$19+0.0001)/2)^A42,"")</f>
        <v/>
      </c>
      <c r="F42" s="37" t="str">
        <f>IF(B42&lt;&gt;"",(1/(1+'Front End'!$D$19/2)^('Bond Pricing'!A42+2))*A42*(A42+1)*B42,"")</f>
        <v/>
      </c>
    </row>
    <row r="43" spans="1:6">
      <c r="A43" s="180">
        <v>20</v>
      </c>
      <c r="B43" s="10" t="str">
        <f t="shared" si="3"/>
        <v/>
      </c>
      <c r="C43" s="36" t="str">
        <f>IF(B43&lt;&gt;"",B43/(1+'Front End'!$D$19/2)^'Bond Pricing'!A43,"")</f>
        <v/>
      </c>
      <c r="D43" s="38" t="str">
        <f t="shared" si="4"/>
        <v/>
      </c>
      <c r="E43" s="36" t="str">
        <f>IF(B43&lt;&gt;"",B43/(1+('Front End'!$D$19+0.0001)/2)^A43,"")</f>
        <v/>
      </c>
      <c r="F43" s="37" t="str">
        <f>IF(B43&lt;&gt;"",(1/(1+'Front End'!$D$19/2)^('Bond Pricing'!A43+2))*A43*(A43+1)*B43,"")</f>
        <v/>
      </c>
    </row>
    <row r="44" spans="1:6" ht="14" thickBot="1">
      <c r="A44" s="39"/>
      <c r="B44" s="40"/>
      <c r="C44" s="41">
        <f>SUM(C24:C43)</f>
        <v>103.47816602310479</v>
      </c>
      <c r="D44" s="42">
        <f>SUM(D24:D43)</f>
        <v>726.61372193242096</v>
      </c>
      <c r="E44" s="43">
        <f>SUM(E24:E43)</f>
        <v>103.44306920889952</v>
      </c>
      <c r="F44" s="44">
        <f>SUM(F24:F43)</f>
        <v>5831.4941438922961</v>
      </c>
    </row>
    <row r="45" spans="1:6">
      <c r="A45" s="45"/>
      <c r="B45" s="46"/>
      <c r="C45" s="47"/>
      <c r="D45" s="46"/>
      <c r="E45" s="48"/>
      <c r="F45" s="49"/>
    </row>
    <row r="46" spans="1:6">
      <c r="A46" s="45"/>
      <c r="B46" s="46"/>
      <c r="C46" s="47"/>
      <c r="D46" s="46"/>
      <c r="E46" s="48"/>
      <c r="F46" s="49"/>
    </row>
    <row r="47" spans="1:6">
      <c r="A47" s="45"/>
      <c r="B47" s="46"/>
      <c r="C47" s="47"/>
      <c r="D47" s="46"/>
      <c r="E47" s="48"/>
      <c r="F47" s="49"/>
    </row>
    <row r="48" spans="1:6">
      <c r="A48" s="45"/>
      <c r="B48" s="46"/>
      <c r="C48" s="47"/>
      <c r="D48" s="46"/>
      <c r="E48" s="48"/>
      <c r="F48" s="49"/>
    </row>
    <row r="49" spans="1:6">
      <c r="A49" s="45"/>
      <c r="B49" s="46"/>
      <c r="C49" s="47"/>
      <c r="D49" s="46"/>
      <c r="E49" s="48"/>
      <c r="F49" s="49"/>
    </row>
    <row r="50" spans="1:6">
      <c r="A50" s="45"/>
      <c r="B50" s="46"/>
      <c r="C50" s="47"/>
      <c r="D50" s="46"/>
      <c r="E50" s="48"/>
      <c r="F50" s="49"/>
    </row>
    <row r="51" spans="1:6">
      <c r="A51" s="45"/>
      <c r="B51" s="46"/>
      <c r="C51" s="47"/>
      <c r="D51" s="46"/>
      <c r="E51" s="48"/>
      <c r="F51" s="49"/>
    </row>
    <row r="52" spans="1:6">
      <c r="A52" s="45"/>
      <c r="B52" s="46"/>
      <c r="C52" s="47"/>
      <c r="D52" s="46"/>
      <c r="E52" s="48"/>
      <c r="F52" s="49"/>
    </row>
    <row r="53" spans="1:6">
      <c r="A53" s="45"/>
      <c r="B53" s="46"/>
      <c r="C53" s="47"/>
      <c r="D53" s="46"/>
      <c r="E53" s="48"/>
      <c r="F53" s="49"/>
    </row>
    <row r="54" spans="1:6">
      <c r="A54" s="45"/>
      <c r="B54" s="46"/>
      <c r="C54" s="47"/>
      <c r="D54" s="46"/>
      <c r="E54" s="48"/>
      <c r="F54" s="49"/>
    </row>
    <row r="55" spans="1:6">
      <c r="A55" s="45"/>
      <c r="B55" s="46"/>
      <c r="C55" s="47"/>
      <c r="D55" s="46"/>
      <c r="E55" s="48"/>
      <c r="F55" s="49"/>
    </row>
    <row r="56" spans="1:6">
      <c r="A56" s="45"/>
      <c r="B56" s="46"/>
      <c r="C56" s="47"/>
      <c r="D56" s="46"/>
      <c r="E56" s="48"/>
      <c r="F56" s="49"/>
    </row>
    <row r="57" spans="1:6">
      <c r="A57" s="45"/>
      <c r="B57" s="46"/>
      <c r="C57" s="47"/>
      <c r="D57" s="46"/>
      <c r="E57" s="48"/>
      <c r="F57" s="49"/>
    </row>
    <row r="58" spans="1:6">
      <c r="A58" s="45"/>
      <c r="B58" s="46"/>
      <c r="C58" s="47"/>
      <c r="D58" s="46"/>
      <c r="E58" s="48"/>
      <c r="F58" s="49"/>
    </row>
    <row r="59" spans="1:6">
      <c r="A59" s="45"/>
      <c r="B59" s="46"/>
      <c r="C59" s="47"/>
      <c r="D59" s="46"/>
      <c r="E59" s="48"/>
      <c r="F59" s="49"/>
    </row>
    <row r="60" spans="1:6">
      <c r="A60" s="45"/>
      <c r="B60" s="46"/>
      <c r="C60" s="47"/>
      <c r="D60" s="46"/>
      <c r="E60" s="48"/>
      <c r="F60" s="49"/>
    </row>
    <row r="61" spans="1:6">
      <c r="A61" s="45"/>
      <c r="B61" s="46"/>
      <c r="C61" s="47"/>
      <c r="D61" s="46"/>
      <c r="E61" s="48"/>
      <c r="F61" s="49"/>
    </row>
    <row r="62" spans="1:6">
      <c r="A62" s="45"/>
      <c r="B62" s="46"/>
      <c r="C62" s="47"/>
      <c r="D62" s="46"/>
      <c r="E62" s="48"/>
      <c r="F62" s="49"/>
    </row>
    <row r="63" spans="1:6">
      <c r="A63" s="45"/>
      <c r="B63" s="46"/>
      <c r="C63" s="47"/>
      <c r="D63" s="46"/>
      <c r="E63" s="48"/>
      <c r="F63" s="49"/>
    </row>
    <row r="64" spans="1:6">
      <c r="A64" s="45"/>
      <c r="B64" s="46"/>
      <c r="C64" s="47"/>
      <c r="D64" s="46"/>
      <c r="E64" s="48"/>
      <c r="F64" s="49"/>
    </row>
    <row r="65" spans="1:6">
      <c r="A65" s="45"/>
      <c r="B65" s="46"/>
      <c r="C65" s="47"/>
      <c r="D65" s="46"/>
      <c r="E65" s="48"/>
      <c r="F65" s="49"/>
    </row>
    <row r="66" spans="1:6">
      <c r="A66" s="45"/>
      <c r="B66" s="46"/>
      <c r="C66" s="47"/>
      <c r="D66" s="46"/>
      <c r="E66" s="48"/>
      <c r="F66" s="49"/>
    </row>
    <row r="67" spans="1:6">
      <c r="A67" s="45"/>
      <c r="B67" s="46"/>
      <c r="C67" s="47"/>
      <c r="D67" s="46"/>
      <c r="E67" s="48"/>
      <c r="F67" s="49"/>
    </row>
    <row r="68" spans="1:6">
      <c r="A68" s="45"/>
      <c r="B68" s="46"/>
      <c r="C68" s="47"/>
      <c r="D68" s="46"/>
      <c r="E68" s="48"/>
      <c r="F68" s="49"/>
    </row>
    <row r="69" spans="1:6">
      <c r="A69" s="45"/>
      <c r="B69" s="46"/>
      <c r="C69" s="47"/>
      <c r="D69" s="46"/>
      <c r="E69" s="48"/>
      <c r="F69" s="49"/>
    </row>
    <row r="70" spans="1:6">
      <c r="A70" s="45"/>
      <c r="B70" s="46"/>
      <c r="C70" s="47"/>
      <c r="D70" s="46"/>
      <c r="E70" s="48"/>
      <c r="F70" s="49"/>
    </row>
    <row r="71" spans="1:6">
      <c r="A71" s="45"/>
      <c r="B71" s="46"/>
      <c r="C71" s="47"/>
      <c r="D71" s="46"/>
      <c r="E71" s="48"/>
      <c r="F71" s="49"/>
    </row>
    <row r="72" spans="1:6">
      <c r="A72" s="45"/>
      <c r="B72" s="46"/>
      <c r="C72" s="47"/>
      <c r="D72" s="46"/>
      <c r="E72" s="48"/>
      <c r="F72" s="49"/>
    </row>
    <row r="73" spans="1:6">
      <c r="A73" s="45"/>
      <c r="B73" s="46"/>
      <c r="C73" s="47"/>
      <c r="D73" s="46"/>
      <c r="E73" s="48"/>
      <c r="F73" s="49"/>
    </row>
    <row r="74" spans="1:6">
      <c r="A74" s="45"/>
      <c r="B74" s="46"/>
      <c r="C74" s="47"/>
      <c r="D74" s="46"/>
      <c r="E74" s="48"/>
      <c r="F74" s="49"/>
    </row>
    <row r="75" spans="1:6">
      <c r="A75" s="45"/>
      <c r="B75" s="46"/>
      <c r="C75" s="47"/>
      <c r="D75" s="46"/>
      <c r="E75" s="48"/>
      <c r="F75" s="49"/>
    </row>
    <row r="76" spans="1:6">
      <c r="A76" s="45"/>
      <c r="B76" s="46"/>
      <c r="C76" s="47"/>
      <c r="D76" s="46"/>
      <c r="E76" s="48"/>
      <c r="F76" s="49"/>
    </row>
    <row r="77" spans="1:6">
      <c r="A77" s="45"/>
      <c r="B77" s="46"/>
      <c r="C77" s="47"/>
      <c r="D77" s="46"/>
      <c r="E77" s="48"/>
      <c r="F77" s="49"/>
    </row>
    <row r="78" spans="1:6">
      <c r="A78" s="45"/>
      <c r="B78" s="46"/>
      <c r="C78" s="47"/>
      <c r="D78" s="46"/>
      <c r="E78" s="48"/>
      <c r="F78" s="49"/>
    </row>
    <row r="79" spans="1:6">
      <c r="A79" s="45"/>
      <c r="B79" s="46"/>
      <c r="C79" s="47"/>
      <c r="D79" s="46"/>
      <c r="E79" s="48"/>
      <c r="F79" s="49"/>
    </row>
    <row r="80" spans="1:6">
      <c r="A80" s="45"/>
      <c r="B80" s="46"/>
      <c r="C80" s="47"/>
      <c r="D80" s="46"/>
      <c r="E80" s="48"/>
      <c r="F80" s="49"/>
    </row>
    <row r="81" spans="1:6">
      <c r="A81" s="45"/>
      <c r="B81" s="46"/>
      <c r="C81" s="47"/>
      <c r="D81" s="46"/>
      <c r="E81" s="48"/>
      <c r="F81" s="49"/>
    </row>
    <row r="82" spans="1:6">
      <c r="A82" s="45"/>
      <c r="B82" s="46"/>
      <c r="C82" s="47"/>
      <c r="D82" s="46"/>
      <c r="E82" s="48"/>
      <c r="F82" s="49"/>
    </row>
    <row r="83" spans="1:6">
      <c r="A83" s="45"/>
      <c r="B83" s="46"/>
      <c r="C83" s="47"/>
      <c r="D83" s="46"/>
      <c r="E83" s="48"/>
      <c r="F83" s="49"/>
    </row>
    <row r="84" spans="1:6">
      <c r="A84" s="50"/>
      <c r="B84" s="50"/>
      <c r="C84" s="48"/>
      <c r="D84" s="48"/>
      <c r="E84" s="48"/>
      <c r="F84" s="51"/>
    </row>
  </sheetData>
  <mergeCells count="20">
    <mergeCell ref="C18:D18"/>
    <mergeCell ref="A1:F1"/>
    <mergeCell ref="D4:D5"/>
    <mergeCell ref="E4:E5"/>
    <mergeCell ref="A6:C6"/>
    <mergeCell ref="A7:C7"/>
    <mergeCell ref="A8:C8"/>
    <mergeCell ref="A9:C9"/>
    <mergeCell ref="A10:C10"/>
    <mergeCell ref="A11:C11"/>
    <mergeCell ref="A12:C12"/>
    <mergeCell ref="A13:C13"/>
    <mergeCell ref="A14:C14"/>
    <mergeCell ref="A18:B18"/>
    <mergeCell ref="A3:E3"/>
    <mergeCell ref="H4:H29"/>
    <mergeCell ref="H1:I1"/>
    <mergeCell ref="H2:I2"/>
    <mergeCell ref="H3:I3"/>
    <mergeCell ref="J3:S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Front End</vt:lpstr>
      <vt:lpstr>Spot Rates</vt:lpstr>
      <vt:lpstr>Bond Pricing</vt:lpstr>
      <vt:lpstr>coupon</vt:lpstr>
      <vt:lpstr>freq</vt:lpstr>
      <vt:lpstr>Maturity_Date</vt:lpstr>
      <vt:lpstr>par</vt:lpstr>
      <vt:lpstr>Settlement_Date</vt:lpstr>
    </vt:vector>
  </TitlesOfParts>
  <Company>UW-Milwaukee SBA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N326D</dc:creator>
  <cp:lastModifiedBy>Pavitra Gajanana</cp:lastModifiedBy>
  <cp:lastPrinted>2013-03-26T18:49:59Z</cp:lastPrinted>
  <dcterms:created xsi:type="dcterms:W3CDTF">1997-10-07T19:18:23Z</dcterms:created>
  <dcterms:modified xsi:type="dcterms:W3CDTF">2021-02-02T15:51:05Z</dcterms:modified>
</cp:coreProperties>
</file>